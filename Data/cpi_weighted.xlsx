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on/Downloads/NSDCSpring/"/>
    </mc:Choice>
  </mc:AlternateContent>
  <xr:revisionPtr revIDLastSave="0" documentId="13_ncr:1_{EFEBB8F0-12D6-274F-99A5-364139433A9E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1" l="1"/>
</calcChain>
</file>

<file path=xl/sharedStrings.xml><?xml version="1.0" encoding="utf-8"?>
<sst xmlns="http://schemas.openxmlformats.org/spreadsheetml/2006/main" count="151" uniqueCount="64">
  <si>
    <t/>
  </si>
  <si>
    <t>Expenditure category</t>
  </si>
  <si>
    <t>Mar.
2025</t>
  </si>
  <si>
    <t>Apr.
2025</t>
  </si>
  <si>
    <t>May
2025</t>
  </si>
  <si>
    <t>Jun.
2025</t>
  </si>
  <si>
    <t>Jul.
2025</t>
  </si>
  <si>
    <t>Aug.
2025</t>
  </si>
  <si>
    <t>Sep.
2025</t>
  </si>
  <si>
    <t>Oct.
2025</t>
  </si>
  <si>
    <t>Nov.
2025</t>
  </si>
  <si>
    <t>Dec.
2025</t>
  </si>
  <si>
    <t>Jan.
2026</t>
  </si>
  <si>
    <t>Feb.
2026</t>
  </si>
  <si>
    <t>Mar.
2026</t>
  </si>
  <si>
    <t>Mar.
2025-
Mar.
2026</t>
  </si>
  <si>
    <t>Dec.
2025-
Jan.
2026</t>
  </si>
  <si>
    <t>Jan.
2026-
Feb.
2026</t>
  </si>
  <si>
    <t>Feb.
2026-
Mar.
2026</t>
  </si>
  <si>
    <t>All items</t>
  </si>
  <si>
    <t>–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</si>
  <si>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</si>
  <si>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</si>
  <si>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</si>
  <si>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</si>
  <si>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</si>
  <si>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</si>
  <si>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</si>
  <si>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</si>
  <si>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t>Food away from home</t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</si>
  <si>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</si>
  <si>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</si>
  <si>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</si>
  <si>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</si>
  <si>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</si>
  <si>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</si>
  <si>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</si>
  <si>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</si>
  <si>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</si>
  <si>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</si>
  <si>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</si>
  <si>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</si>
  <si>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</si>
  <si>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t>Medical care commodities</t>
  </si>
  <si>
    <t>Alcoholic beverages</t>
  </si>
  <si>
    <t>Tobacco and smoking products</t>
  </si>
  <si>
    <t>Services less energy services</t>
  </si>
  <si>
    <t>Shelter</t>
  </si>
  <si>
    <t>Rent of primary residence</t>
  </si>
  <si>
    <r>
      <rPr>
        <sz val="11"/>
        <rFont val="Calibri"/>
        <family val="2"/>
      </rPr>
      <t>Owners' equivalent rent of residences</t>
    </r>
    <r>
      <rPr>
        <vertAlign val="superscript"/>
        <sz val="11"/>
        <rFont val="Calibri"/>
        <family val="2"/>
      </rPr>
      <t>(1)</t>
    </r>
  </si>
  <si>
    <t>Medical care services</t>
  </si>
  <si>
    <t>Physicians' services</t>
  </si>
  <si>
    <r>
      <rPr>
        <sz val="11"/>
        <rFont val="Calibri"/>
        <family val="2"/>
      </rPr>
      <t>Hospital services</t>
    </r>
    <r>
      <rPr>
        <vertAlign val="superscript"/>
        <sz val="11"/>
        <rFont val="Calibri"/>
        <family val="2"/>
      </rPr>
      <t>(2)</t>
    </r>
  </si>
  <si>
    <t>Transportation services</t>
  </si>
  <si>
    <t>Motor vehicle maintenance and repair</t>
  </si>
  <si>
    <t>Motor vehicle insurance</t>
  </si>
  <si>
    <t>Airline fares</t>
  </si>
  <si>
    <t>Footnotes:</t>
  </si>
  <si>
    <t>(1) Indexes on a December 1982=100 base.</t>
  </si>
  <si>
    <t>(2) Indexes on a December 1996=100 base.</t>
  </si>
  <si>
    <t>NOTE: The Oct 2025 data values are not available due to the 2025 lapse in appropriations.</t>
  </si>
  <si>
    <t>Feb.
2025</t>
  </si>
  <si>
    <t>YoY</t>
  </si>
  <si>
    <t>MarchCPI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</si>
</sst>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.000"/>
    <numFmt numFmtId="168" formatCode="[$-409]d\-mmm;@"/>
  </numFmts>
  <fonts count="3" x14ac:knownFonts="1">
    <font>
      <sz val="11"/>
      <color indexed="8"/>
      <name val="Aptos Narrow"/>
      <family val="2"/>
      <scheme val="minor"/>
    </font>
    <font>
      <sz val="11"/>
      <name val="Calibri"/>
      <family val="2"/>
    </font>
    <font>
      <vertAlign val="superscript"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168" fontId="0" fillId="0" borderId="0" xfId="0" applyNumberFormat="1"/>
    <xf numFmtId="168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2" max="2" width="70" customWidth="1"/>
    <col min="3" max="36" width="15" customWidth="1"/>
  </cols>
  <sheetData>
    <row r="1" spans="1:37" ht="64" x14ac:dyDescent="0.2">
      <c r="B1" s="3" t="s">
        <v>1</v>
      </c>
      <c r="C1" s="14" t="s">
        <v>61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63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3" t="s">
        <v>16</v>
      </c>
      <c r="AI1" s="3" t="s">
        <v>17</v>
      </c>
      <c r="AJ1" s="3" t="s">
        <v>18</v>
      </c>
      <c r="AK1" s="3" t="s">
        <v>62</v>
      </c>
    </row>
    <row r="2" spans="1:37" ht="16" x14ac:dyDescent="0.2">
      <c r="A2" s="2">
        <v>0</v>
      </c>
      <c r="B2" s="5" t="s">
        <v>19</v>
      </c>
      <c r="C2" s="11">
        <v>100</v>
      </c>
      <c r="D2" s="11">
        <v>313.25</v>
      </c>
      <c r="E2" s="11">
        <v>314.24299999999999</v>
      </c>
      <c r="F2" s="11">
        <v>314.839</v>
      </c>
      <c r="G2" s="11">
        <v>315.94499999999999</v>
      </c>
      <c r="H2" s="11">
        <v>316.34899999999999</v>
      </c>
      <c r="I2" s="11">
        <v>317.30599999999998</v>
      </c>
      <c r="J2" s="11">
        <v>318.13900000000001</v>
      </c>
      <c r="K2" s="4" t="s">
        <v>20</v>
      </c>
      <c r="L2" s="11">
        <v>317.41399999999999</v>
      </c>
      <c r="M2" s="11">
        <v>317.01400000000001</v>
      </c>
      <c r="N2" s="11">
        <v>317.94200000000001</v>
      </c>
      <c r="O2" s="11">
        <v>319.42200000000003</v>
      </c>
      <c r="P2" s="11">
        <v>323.5</v>
      </c>
      <c r="Q2" s="11">
        <v>313.34100000000001</v>
      </c>
      <c r="R2" s="11">
        <v>313.72899999999998</v>
      </c>
      <c r="S2" s="11">
        <v>314.005</v>
      </c>
      <c r="T2" s="11">
        <v>314.76499999999999</v>
      </c>
      <c r="U2" s="11">
        <v>315.35399999999998</v>
      </c>
      <c r="V2" s="11">
        <v>316.44799999999998</v>
      </c>
      <c r="W2" s="11">
        <v>317.47699999999998</v>
      </c>
      <c r="X2" s="4" t="s">
        <v>20</v>
      </c>
      <c r="Y2" s="11">
        <v>318.41899999999998</v>
      </c>
      <c r="Z2" s="11">
        <v>319.13900000000001</v>
      </c>
      <c r="AA2" s="11">
        <v>319.43400000000003</v>
      </c>
      <c r="AB2" s="11">
        <v>320.26600000000002</v>
      </c>
      <c r="AC2" s="11">
        <v>323.69799999999998</v>
      </c>
      <c r="AD2" s="10">
        <v>3.3</v>
      </c>
      <c r="AE2" s="10">
        <v>0.3</v>
      </c>
      <c r="AF2" s="10">
        <v>0.5</v>
      </c>
      <c r="AG2" s="10">
        <v>1.3</v>
      </c>
      <c r="AH2" s="10">
        <v>0.1</v>
      </c>
      <c r="AI2" s="10">
        <v>0.3</v>
      </c>
      <c r="AJ2" s="10">
        <v>1.1000000000000001</v>
      </c>
      <c r="AK2" s="13">
        <f>(C2/MAX($C$1:$C$10))*100</f>
        <v>100</v>
      </c>
    </row>
    <row r="3" spans="1:37" ht="16" x14ac:dyDescent="0.2">
      <c r="A3" s="2">
        <v>1</v>
      </c>
      <c r="B3" s="6" t="s">
        <v>21</v>
      </c>
      <c r="C3" s="11">
        <v>14.898999999999999</v>
      </c>
      <c r="D3" s="11">
        <v>336.44099999999997</v>
      </c>
      <c r="E3" s="11">
        <v>336.27100000000002</v>
      </c>
      <c r="F3" s="11">
        <v>336.95100000000002</v>
      </c>
      <c r="G3" s="11">
        <v>337.88799999999998</v>
      </c>
      <c r="H3" s="11">
        <v>338.28</v>
      </c>
      <c r="I3" s="11">
        <v>339.60199999999998</v>
      </c>
      <c r="J3" s="11">
        <v>340.72399999999999</v>
      </c>
      <c r="K3" s="4" t="s">
        <v>20</v>
      </c>
      <c r="L3" s="11">
        <v>340.24900000000002</v>
      </c>
      <c r="M3" s="11">
        <v>342.08300000000003</v>
      </c>
      <c r="N3" s="11">
        <v>343.43700000000001</v>
      </c>
      <c r="O3" s="11">
        <v>344.90300000000002</v>
      </c>
      <c r="P3" s="11">
        <v>345.06700000000001</v>
      </c>
      <c r="Q3" s="11">
        <v>335.98599999999999</v>
      </c>
      <c r="R3" s="11">
        <v>336.02800000000002</v>
      </c>
      <c r="S3" s="11">
        <v>336.89499999999998</v>
      </c>
      <c r="T3" s="11">
        <v>337.89</v>
      </c>
      <c r="U3" s="11">
        <v>338.14100000000002</v>
      </c>
      <c r="V3" s="11">
        <v>339.59300000000002</v>
      </c>
      <c r="W3" s="11">
        <v>340.33100000000002</v>
      </c>
      <c r="X3" s="4" t="s">
        <v>20</v>
      </c>
      <c r="Y3" s="11">
        <v>340.887</v>
      </c>
      <c r="Z3" s="11">
        <v>342.89800000000002</v>
      </c>
      <c r="AA3" s="11">
        <v>343.56200000000001</v>
      </c>
      <c r="AB3" s="11">
        <v>345.05700000000002</v>
      </c>
      <c r="AC3" s="11">
        <v>344.83199999999999</v>
      </c>
      <c r="AD3" s="10">
        <v>2.6</v>
      </c>
      <c r="AE3" s="10">
        <v>0.4</v>
      </c>
      <c r="AF3" s="10">
        <v>0.4</v>
      </c>
      <c r="AG3" s="10">
        <v>0</v>
      </c>
      <c r="AH3" s="10">
        <v>0.2</v>
      </c>
      <c r="AI3" s="10">
        <v>0.4</v>
      </c>
      <c r="AJ3" s="10">
        <v>-0.1</v>
      </c>
    </row>
    <row r="4" spans="1:37" ht="16" x14ac:dyDescent="0.2">
      <c r="A4" s="2">
        <v>2</v>
      </c>
      <c r="B4" s="7" t="s">
        <v>22</v>
      </c>
      <c r="C4" s="11">
        <v>9.5470000000000006</v>
      </c>
      <c r="D4" s="11">
        <v>312.738</v>
      </c>
      <c r="E4" s="11">
        <v>311.49599999999998</v>
      </c>
      <c r="F4" s="11">
        <v>311.93200000000002</v>
      </c>
      <c r="G4" s="11">
        <v>312.60500000000002</v>
      </c>
      <c r="H4" s="11">
        <v>312.69799999999998</v>
      </c>
      <c r="I4" s="11">
        <v>314.16699999999997</v>
      </c>
      <c r="J4" s="11">
        <v>315.62</v>
      </c>
      <c r="K4" s="4" t="s">
        <v>20</v>
      </c>
      <c r="L4" s="11">
        <v>313.916</v>
      </c>
      <c r="M4" s="11">
        <v>315.24900000000002</v>
      </c>
      <c r="N4" s="11">
        <v>316.88</v>
      </c>
      <c r="O4" s="11">
        <v>318.42399999999998</v>
      </c>
      <c r="P4" s="11">
        <v>318.26</v>
      </c>
      <c r="Q4" s="11">
        <v>312.036</v>
      </c>
      <c r="R4" s="11">
        <v>311.12099999999998</v>
      </c>
      <c r="S4" s="11">
        <v>311.84399999999999</v>
      </c>
      <c r="T4" s="11">
        <v>312.608</v>
      </c>
      <c r="U4" s="11">
        <v>312.483</v>
      </c>
      <c r="V4" s="11">
        <v>314.15300000000002</v>
      </c>
      <c r="W4" s="11">
        <v>315.01400000000001</v>
      </c>
      <c r="X4" s="4" t="s">
        <v>20</v>
      </c>
      <c r="Y4" s="11">
        <v>314.90100000000001</v>
      </c>
      <c r="Z4" s="11">
        <v>316.50599999999997</v>
      </c>
      <c r="AA4" s="11">
        <v>317.06</v>
      </c>
      <c r="AB4" s="11">
        <v>318.64600000000002</v>
      </c>
      <c r="AC4" s="11">
        <v>317.923</v>
      </c>
      <c r="AD4" s="10">
        <v>1.8</v>
      </c>
      <c r="AE4" s="10">
        <v>0.5</v>
      </c>
      <c r="AF4" s="10">
        <v>0.5</v>
      </c>
      <c r="AG4" s="10">
        <v>-0.1</v>
      </c>
      <c r="AH4" s="10">
        <v>0.2</v>
      </c>
      <c r="AI4" s="10">
        <v>0.5</v>
      </c>
      <c r="AJ4" s="10">
        <v>-0.2</v>
      </c>
    </row>
    <row r="5" spans="1:37" ht="16" x14ac:dyDescent="0.2">
      <c r="A5" s="2">
        <v>3</v>
      </c>
      <c r="B5" s="8" t="s">
        <v>23</v>
      </c>
      <c r="C5" s="11">
        <v>1.137</v>
      </c>
      <c r="D5" s="11">
        <v>360.32100000000003</v>
      </c>
      <c r="E5" s="11">
        <v>358.13200000000001</v>
      </c>
      <c r="F5" s="11">
        <v>362.45600000000002</v>
      </c>
      <c r="G5" s="11">
        <v>362.416</v>
      </c>
      <c r="H5" s="11">
        <v>362.214</v>
      </c>
      <c r="I5" s="11">
        <v>362.137</v>
      </c>
      <c r="J5" s="11">
        <v>363.22899999999998</v>
      </c>
      <c r="K5" s="4" t="s">
        <v>20</v>
      </c>
      <c r="L5" s="11">
        <v>363.49200000000002</v>
      </c>
      <c r="M5" s="11">
        <v>364.11399999999998</v>
      </c>
      <c r="N5" s="11">
        <v>368.38400000000001</v>
      </c>
      <c r="O5" s="11">
        <v>368.58699999999999</v>
      </c>
      <c r="P5" s="11">
        <v>366.67099999999999</v>
      </c>
      <c r="Q5" s="11">
        <v>359.58699999999999</v>
      </c>
      <c r="R5" s="11">
        <v>358.25700000000001</v>
      </c>
      <c r="S5" s="11">
        <v>362.16800000000001</v>
      </c>
      <c r="T5" s="11">
        <v>361.49599999999998</v>
      </c>
      <c r="U5" s="11">
        <v>360.98099999999999</v>
      </c>
      <c r="V5" s="11">
        <v>361.62799999999999</v>
      </c>
      <c r="W5" s="11">
        <v>362.786</v>
      </c>
      <c r="X5" s="4" t="s">
        <v>20</v>
      </c>
      <c r="Y5" s="11">
        <v>364.20800000000003</v>
      </c>
      <c r="Z5" s="11">
        <v>366.05099999999999</v>
      </c>
      <c r="AA5" s="11">
        <v>369.49299999999999</v>
      </c>
      <c r="AB5" s="11">
        <v>368.834</v>
      </c>
      <c r="AC5" s="11">
        <v>365.92500000000001</v>
      </c>
      <c r="AD5" s="10">
        <v>1.8</v>
      </c>
      <c r="AE5" s="10">
        <v>1.2</v>
      </c>
      <c r="AF5" s="10">
        <v>0.1</v>
      </c>
      <c r="AG5" s="10">
        <v>-0.5</v>
      </c>
      <c r="AH5" s="10">
        <v>0.9</v>
      </c>
      <c r="AI5" s="10">
        <v>-0.2</v>
      </c>
      <c r="AJ5" s="10">
        <v>-0.8</v>
      </c>
    </row>
    <row r="6" spans="1:37" ht="16" x14ac:dyDescent="0.2">
      <c r="A6" s="2">
        <v>3</v>
      </c>
      <c r="B6" s="8" t="s">
        <v>24</v>
      </c>
      <c r="C6" s="11">
        <v>2.395</v>
      </c>
      <c r="D6" s="11">
        <v>348.47</v>
      </c>
      <c r="E6" s="11">
        <v>345.09399999999999</v>
      </c>
      <c r="F6" s="11">
        <v>343.399</v>
      </c>
      <c r="G6" s="11">
        <v>342.55799999999999</v>
      </c>
      <c r="H6" s="11">
        <v>344.86500000000001</v>
      </c>
      <c r="I6" s="11">
        <v>348.464</v>
      </c>
      <c r="J6" s="11">
        <v>350.43799999999999</v>
      </c>
      <c r="K6" s="4" t="s">
        <v>20</v>
      </c>
      <c r="L6" s="11">
        <v>349.01499999999999</v>
      </c>
      <c r="M6" s="11">
        <v>347.97</v>
      </c>
      <c r="N6" s="11">
        <v>347.90800000000002</v>
      </c>
      <c r="O6" s="11">
        <v>347.59800000000001</v>
      </c>
      <c r="P6" s="11">
        <v>346.67</v>
      </c>
      <c r="Q6" s="11">
        <v>347.37299999999999</v>
      </c>
      <c r="R6" s="11">
        <v>344.483</v>
      </c>
      <c r="S6" s="11">
        <v>344.08499999999998</v>
      </c>
      <c r="T6" s="11">
        <v>344.25299999999999</v>
      </c>
      <c r="U6" s="11">
        <v>344.69600000000003</v>
      </c>
      <c r="V6" s="11">
        <v>347.61200000000002</v>
      </c>
      <c r="W6" s="11">
        <v>348.40300000000002</v>
      </c>
      <c r="X6" s="4" t="s">
        <v>20</v>
      </c>
      <c r="Y6" s="11">
        <v>349.43200000000002</v>
      </c>
      <c r="Z6" s="11">
        <v>348.31</v>
      </c>
      <c r="AA6" s="11">
        <v>349.58100000000002</v>
      </c>
      <c r="AB6" s="11">
        <v>349.875</v>
      </c>
      <c r="AC6" s="11">
        <v>347.48</v>
      </c>
      <c r="AD6" s="10">
        <v>-0.5</v>
      </c>
      <c r="AE6" s="10">
        <v>0</v>
      </c>
      <c r="AF6" s="10">
        <v>-0.1</v>
      </c>
      <c r="AG6" s="10">
        <v>-0.3</v>
      </c>
      <c r="AH6" s="10">
        <v>0.4</v>
      </c>
      <c r="AI6" s="10">
        <v>0.1</v>
      </c>
      <c r="AJ6" s="10">
        <v>-0.7</v>
      </c>
    </row>
    <row r="7" spans="1:37" ht="16" x14ac:dyDescent="0.2">
      <c r="A7" s="2">
        <v>3</v>
      </c>
      <c r="B7" s="8" t="s">
        <v>25</v>
      </c>
      <c r="C7" s="11">
        <v>0.82599999999999996</v>
      </c>
      <c r="D7" s="11">
        <v>270.11599999999999</v>
      </c>
      <c r="E7" s="11">
        <v>269.38400000000001</v>
      </c>
      <c r="F7" s="11">
        <v>269.03399999999999</v>
      </c>
      <c r="G7" s="11">
        <v>268.43099999999998</v>
      </c>
      <c r="H7" s="11">
        <v>270.39800000000002</v>
      </c>
      <c r="I7" s="11">
        <v>270.90699999999998</v>
      </c>
      <c r="J7" s="11">
        <v>269.59100000000001</v>
      </c>
      <c r="K7" s="4" t="s">
        <v>20</v>
      </c>
      <c r="L7" s="11">
        <v>264.65800000000002</v>
      </c>
      <c r="M7" s="11">
        <v>266.66800000000001</v>
      </c>
      <c r="N7" s="11">
        <v>269.33199999999999</v>
      </c>
      <c r="O7" s="11">
        <v>267.92200000000003</v>
      </c>
      <c r="P7" s="11">
        <v>266.12400000000002</v>
      </c>
      <c r="Q7" s="11">
        <v>270.11599999999999</v>
      </c>
      <c r="R7" s="11">
        <v>269.38400000000001</v>
      </c>
      <c r="S7" s="11">
        <v>269.03399999999999</v>
      </c>
      <c r="T7" s="11">
        <v>268.43099999999998</v>
      </c>
      <c r="U7" s="11">
        <v>270.39800000000002</v>
      </c>
      <c r="V7" s="11">
        <v>270.90699999999998</v>
      </c>
      <c r="W7" s="11">
        <v>269.59100000000001</v>
      </c>
      <c r="X7" s="4" t="s">
        <v>20</v>
      </c>
      <c r="Y7" s="11">
        <v>264.65800000000002</v>
      </c>
      <c r="Z7" s="11">
        <v>266.66800000000001</v>
      </c>
      <c r="AA7" s="11">
        <v>269.33199999999999</v>
      </c>
      <c r="AB7" s="11">
        <v>267.92200000000003</v>
      </c>
      <c r="AC7" s="11">
        <v>266.12400000000002</v>
      </c>
      <c r="AD7" s="10">
        <v>-1.5</v>
      </c>
      <c r="AE7" s="10">
        <v>1</v>
      </c>
      <c r="AF7" s="10">
        <v>-0.5</v>
      </c>
      <c r="AG7" s="10">
        <v>-0.7</v>
      </c>
      <c r="AH7" s="10">
        <v>1</v>
      </c>
      <c r="AI7" s="10">
        <v>-0.5</v>
      </c>
      <c r="AJ7" s="10">
        <v>-0.7</v>
      </c>
    </row>
    <row r="8" spans="1:37" ht="16" x14ac:dyDescent="0.2">
      <c r="A8" s="2">
        <v>3</v>
      </c>
      <c r="B8" s="8" t="s">
        <v>26</v>
      </c>
      <c r="C8" s="11">
        <v>1.4319999999999999</v>
      </c>
      <c r="D8" s="11">
        <v>346.31799999999998</v>
      </c>
      <c r="E8" s="11">
        <v>345.10399999999998</v>
      </c>
      <c r="F8" s="11">
        <v>346.774</v>
      </c>
      <c r="G8" s="11">
        <v>346.39</v>
      </c>
      <c r="H8" s="11">
        <v>347.25200000000001</v>
      </c>
      <c r="I8" s="11">
        <v>352.47899999999998</v>
      </c>
      <c r="J8" s="11">
        <v>353.78699999999998</v>
      </c>
      <c r="K8" s="4" t="s">
        <v>20</v>
      </c>
      <c r="L8" s="11">
        <v>351.41</v>
      </c>
      <c r="M8" s="11">
        <v>351.43799999999999</v>
      </c>
      <c r="N8" s="11">
        <v>353.88799999999998</v>
      </c>
      <c r="O8" s="11">
        <v>357.98099999999999</v>
      </c>
      <c r="P8" s="11">
        <v>359.613</v>
      </c>
      <c r="Q8" s="11">
        <v>347.02300000000002</v>
      </c>
      <c r="R8" s="11">
        <v>346.35</v>
      </c>
      <c r="S8" s="11">
        <v>346.58</v>
      </c>
      <c r="T8" s="11">
        <v>347.911</v>
      </c>
      <c r="U8" s="11">
        <v>348.60599999999999</v>
      </c>
      <c r="V8" s="11">
        <v>353.59899999999999</v>
      </c>
      <c r="W8" s="11">
        <v>353.04399999999998</v>
      </c>
      <c r="X8" s="4" t="s">
        <v>20</v>
      </c>
      <c r="Y8" s="11">
        <v>350.512</v>
      </c>
      <c r="Z8" s="11">
        <v>352.142</v>
      </c>
      <c r="AA8" s="11">
        <v>351.26400000000001</v>
      </c>
      <c r="AB8" s="11">
        <v>356.63299999999998</v>
      </c>
      <c r="AC8" s="11">
        <v>360.27600000000001</v>
      </c>
      <c r="AD8" s="10">
        <v>3.8</v>
      </c>
      <c r="AE8" s="10">
        <v>0.7</v>
      </c>
      <c r="AF8" s="10">
        <v>1.2</v>
      </c>
      <c r="AG8" s="10">
        <v>0.5</v>
      </c>
      <c r="AH8" s="10">
        <v>-0.2</v>
      </c>
      <c r="AI8" s="10">
        <v>1.5</v>
      </c>
      <c r="AJ8" s="10">
        <v>1</v>
      </c>
    </row>
    <row r="9" spans="1:37" ht="16" x14ac:dyDescent="0.2">
      <c r="A9" s="2">
        <v>3</v>
      </c>
      <c r="B9" s="8" t="s">
        <v>27</v>
      </c>
      <c r="C9" s="11">
        <v>1.264</v>
      </c>
      <c r="D9" s="11">
        <v>227.12</v>
      </c>
      <c r="E9" s="11">
        <v>227.36799999999999</v>
      </c>
      <c r="F9" s="11">
        <v>225.61699999999999</v>
      </c>
      <c r="G9" s="11">
        <v>228.50200000000001</v>
      </c>
      <c r="H9" s="11">
        <v>226.44300000000001</v>
      </c>
      <c r="I9" s="11">
        <v>227.13499999999999</v>
      </c>
      <c r="J9" s="11">
        <v>229.74799999999999</v>
      </c>
      <c r="K9" s="4" t="s">
        <v>20</v>
      </c>
      <c r="L9" s="11">
        <v>229.28299999999999</v>
      </c>
      <c r="M9" s="11">
        <v>229.934</v>
      </c>
      <c r="N9" s="11">
        <v>233.64699999999999</v>
      </c>
      <c r="O9" s="11">
        <v>236.13900000000001</v>
      </c>
      <c r="P9" s="11">
        <v>235.37799999999999</v>
      </c>
      <c r="Q9" s="11">
        <v>225.184</v>
      </c>
      <c r="R9" s="11">
        <v>226.05099999999999</v>
      </c>
      <c r="S9" s="11">
        <v>225.81399999999999</v>
      </c>
      <c r="T9" s="11">
        <v>228.64599999999999</v>
      </c>
      <c r="U9" s="11">
        <v>226.875</v>
      </c>
      <c r="V9" s="11">
        <v>227.69300000000001</v>
      </c>
      <c r="W9" s="11">
        <v>230.001</v>
      </c>
      <c r="X9" s="4" t="s">
        <v>20</v>
      </c>
      <c r="Y9" s="11">
        <v>231.339</v>
      </c>
      <c r="Z9" s="11">
        <v>232.17699999999999</v>
      </c>
      <c r="AA9" s="11">
        <v>232.369</v>
      </c>
      <c r="AB9" s="11">
        <v>234.57400000000001</v>
      </c>
      <c r="AC9" s="11">
        <v>233.37100000000001</v>
      </c>
      <c r="AD9" s="10">
        <v>3.6</v>
      </c>
      <c r="AE9" s="10">
        <v>1.6</v>
      </c>
      <c r="AF9" s="10">
        <v>1.1000000000000001</v>
      </c>
      <c r="AG9" s="10">
        <v>-0.3</v>
      </c>
      <c r="AH9" s="10">
        <v>0.1</v>
      </c>
      <c r="AI9" s="10">
        <v>0.9</v>
      </c>
      <c r="AJ9" s="10">
        <v>-0.5</v>
      </c>
    </row>
    <row r="10" spans="1:37" ht="16" x14ac:dyDescent="0.2">
      <c r="A10" s="2">
        <v>3</v>
      </c>
      <c r="B10" s="8" t="s">
        <v>28</v>
      </c>
      <c r="C10" s="11">
        <v>2.4940000000000002</v>
      </c>
      <c r="D10" s="11">
        <v>275.17200000000003</v>
      </c>
      <c r="E10" s="11">
        <v>274.815</v>
      </c>
      <c r="F10" s="11">
        <v>275.97800000000001</v>
      </c>
      <c r="G10" s="11">
        <v>277.50900000000001</v>
      </c>
      <c r="H10" s="11">
        <v>276.46499999999997</v>
      </c>
      <c r="I10" s="11">
        <v>275.983</v>
      </c>
      <c r="J10" s="11">
        <v>277.40800000000002</v>
      </c>
      <c r="K10" s="4" t="s">
        <v>20</v>
      </c>
      <c r="L10" s="11">
        <v>275.77499999999998</v>
      </c>
      <c r="M10" s="11">
        <v>279.36799999999999</v>
      </c>
      <c r="N10" s="11">
        <v>279.17099999999999</v>
      </c>
      <c r="O10" s="11">
        <v>281.70699999999999</v>
      </c>
      <c r="P10" s="11">
        <v>282.88900000000001</v>
      </c>
      <c r="Q10" s="11">
        <v>274.59199999999998</v>
      </c>
      <c r="R10" s="11">
        <v>274.09800000000001</v>
      </c>
      <c r="S10" s="11">
        <v>275.36799999999999</v>
      </c>
      <c r="T10" s="11">
        <v>276.03399999999999</v>
      </c>
      <c r="U10" s="11">
        <v>275.50700000000001</v>
      </c>
      <c r="V10" s="11">
        <v>275.863</v>
      </c>
      <c r="W10" s="11">
        <v>277.14400000000001</v>
      </c>
      <c r="X10" s="4" t="s">
        <v>20</v>
      </c>
      <c r="Y10" s="11">
        <v>277.68599999999998</v>
      </c>
      <c r="Z10" s="11">
        <v>280.94200000000001</v>
      </c>
      <c r="AA10" s="11">
        <v>280.053</v>
      </c>
      <c r="AB10" s="11">
        <v>282.154</v>
      </c>
      <c r="AC10" s="11">
        <v>282.28899999999999</v>
      </c>
      <c r="AD10" s="10">
        <v>2.8</v>
      </c>
      <c r="AE10" s="10">
        <v>-0.1</v>
      </c>
      <c r="AF10" s="10">
        <v>0.9</v>
      </c>
      <c r="AG10" s="10">
        <v>0.4</v>
      </c>
      <c r="AH10" s="10">
        <v>-0.3</v>
      </c>
      <c r="AI10" s="10">
        <v>0.8</v>
      </c>
      <c r="AJ10" s="10">
        <v>0</v>
      </c>
    </row>
    <row r="11" spans="1:37" ht="16" x14ac:dyDescent="0.2">
      <c r="A11" s="2">
        <v>2</v>
      </c>
      <c r="B11" s="7" t="s">
        <v>29</v>
      </c>
      <c r="C11" s="11">
        <v>5.3520000000000003</v>
      </c>
      <c r="D11" s="11">
        <v>379.22500000000002</v>
      </c>
      <c r="E11" s="11">
        <v>381.024</v>
      </c>
      <c r="F11" s="11">
        <v>382.15300000000002</v>
      </c>
      <c r="G11" s="11">
        <v>383.57</v>
      </c>
      <c r="H11" s="11">
        <v>384.51299999999998</v>
      </c>
      <c r="I11" s="11">
        <v>385.56</v>
      </c>
      <c r="J11" s="11">
        <v>386.07100000000003</v>
      </c>
      <c r="K11" s="4" t="s">
        <v>20</v>
      </c>
      <c r="L11" s="11">
        <v>387.85599999999999</v>
      </c>
      <c r="M11" s="11">
        <v>390.60500000000002</v>
      </c>
      <c r="N11" s="11">
        <v>391.30900000000003</v>
      </c>
      <c r="O11" s="11">
        <v>392.55799999999999</v>
      </c>
      <c r="P11" s="11">
        <v>393.43700000000001</v>
      </c>
      <c r="Q11" s="11">
        <v>379.22500000000002</v>
      </c>
      <c r="R11" s="11">
        <v>381.024</v>
      </c>
      <c r="S11" s="11">
        <v>382.15300000000002</v>
      </c>
      <c r="T11" s="11">
        <v>383.57</v>
      </c>
      <c r="U11" s="11">
        <v>384.51299999999998</v>
      </c>
      <c r="V11" s="11">
        <v>385.56</v>
      </c>
      <c r="W11" s="11">
        <v>386.07100000000003</v>
      </c>
      <c r="X11" s="4" t="s">
        <v>20</v>
      </c>
      <c r="Y11" s="11">
        <v>387.85599999999999</v>
      </c>
      <c r="Z11" s="11">
        <v>390.60500000000002</v>
      </c>
      <c r="AA11" s="11">
        <v>391.30900000000003</v>
      </c>
      <c r="AB11" s="11">
        <v>392.55799999999999</v>
      </c>
      <c r="AC11" s="11">
        <v>393.43700000000001</v>
      </c>
      <c r="AD11" s="10">
        <v>3.7</v>
      </c>
      <c r="AE11" s="10">
        <v>0.2</v>
      </c>
      <c r="AF11" s="10">
        <v>0.3</v>
      </c>
      <c r="AG11" s="10">
        <v>0.2</v>
      </c>
      <c r="AH11" s="10">
        <v>0.2</v>
      </c>
      <c r="AI11" s="10">
        <v>0.3</v>
      </c>
      <c r="AJ11" s="10">
        <v>0.2</v>
      </c>
    </row>
    <row r="13" spans="1:37" ht="16" x14ac:dyDescent="0.2">
      <c r="A13" s="2">
        <v>1</v>
      </c>
      <c r="B13" s="6" t="s">
        <v>30</v>
      </c>
      <c r="C13" s="11">
        <v>8.0890000000000004</v>
      </c>
      <c r="D13" s="11">
        <v>273.45699999999999</v>
      </c>
      <c r="E13" s="11">
        <v>278.221</v>
      </c>
      <c r="F13" s="11">
        <v>278.25</v>
      </c>
      <c r="G13" s="11">
        <v>281.91399999999999</v>
      </c>
      <c r="H13" s="11">
        <v>280.99200000000002</v>
      </c>
      <c r="I13" s="11">
        <v>280.93799999999999</v>
      </c>
      <c r="J13" s="11">
        <v>281.553</v>
      </c>
      <c r="K13" s="4" t="s">
        <v>20</v>
      </c>
      <c r="L13" s="11">
        <v>276.94</v>
      </c>
      <c r="M13" s="11">
        <v>270.47699999999998</v>
      </c>
      <c r="N13" s="11">
        <v>268.42700000000002</v>
      </c>
      <c r="O13" s="11">
        <v>273.76600000000002</v>
      </c>
      <c r="P13" s="11">
        <v>308.90300000000002</v>
      </c>
      <c r="Q13" s="11">
        <v>276.755</v>
      </c>
      <c r="R13" s="11">
        <v>275.11</v>
      </c>
      <c r="S13" s="11">
        <v>272.90699999999998</v>
      </c>
      <c r="T13" s="11">
        <v>273.70699999999999</v>
      </c>
      <c r="U13" s="11">
        <v>271.85599999999999</v>
      </c>
      <c r="V13" s="11">
        <v>273.91199999999998</v>
      </c>
      <c r="W13" s="11">
        <v>278.38099999999997</v>
      </c>
      <c r="X13" s="4" t="s">
        <v>20</v>
      </c>
      <c r="Y13" s="11">
        <v>282.375</v>
      </c>
      <c r="Z13" s="11">
        <v>282.971</v>
      </c>
      <c r="AA13" s="11">
        <v>278.21699999999998</v>
      </c>
      <c r="AB13" s="11">
        <v>280.59199999999998</v>
      </c>
      <c r="AC13" s="11">
        <v>312.8</v>
      </c>
      <c r="AD13" s="10">
        <v>13</v>
      </c>
      <c r="AE13" s="10">
        <v>-0.8</v>
      </c>
      <c r="AF13" s="10">
        <v>2</v>
      </c>
      <c r="AG13" s="10">
        <v>12.8</v>
      </c>
      <c r="AH13" s="10">
        <v>-1.7</v>
      </c>
      <c r="AI13" s="10">
        <v>0.9</v>
      </c>
      <c r="AJ13" s="10">
        <v>11.5</v>
      </c>
    </row>
    <row r="14" spans="1:37" ht="16" x14ac:dyDescent="0.2">
      <c r="A14" s="2">
        <v>2</v>
      </c>
      <c r="B14" s="7" t="s">
        <v>31</v>
      </c>
      <c r="C14" s="11">
        <v>4.2060000000000004</v>
      </c>
      <c r="D14" s="11">
        <v>283.90600000000001</v>
      </c>
      <c r="E14" s="11">
        <v>291.553</v>
      </c>
      <c r="F14" s="11">
        <v>289.53800000000001</v>
      </c>
      <c r="G14" s="11">
        <v>289.84899999999999</v>
      </c>
      <c r="H14" s="11">
        <v>288.61799999999999</v>
      </c>
      <c r="I14" s="11">
        <v>289.49599999999998</v>
      </c>
      <c r="J14" s="11">
        <v>292.69900000000001</v>
      </c>
      <c r="K14" s="4" t="s">
        <v>20</v>
      </c>
      <c r="L14" s="11">
        <v>283.93900000000002</v>
      </c>
      <c r="M14" s="11">
        <v>268.56200000000001</v>
      </c>
      <c r="N14" s="11">
        <v>261.767</v>
      </c>
      <c r="O14" s="11">
        <v>271.12700000000001</v>
      </c>
      <c r="P14" s="11">
        <v>339.27199999999999</v>
      </c>
      <c r="Q14" s="11">
        <v>288.90199999999999</v>
      </c>
      <c r="R14" s="11">
        <v>282.36799999999999</v>
      </c>
      <c r="S14" s="11">
        <v>276.89100000000002</v>
      </c>
      <c r="T14" s="11">
        <v>277.29399999999998</v>
      </c>
      <c r="U14" s="11">
        <v>274.077</v>
      </c>
      <c r="V14" s="11">
        <v>278.572</v>
      </c>
      <c r="W14" s="11">
        <v>288.29500000000002</v>
      </c>
      <c r="X14" s="4" t="s">
        <v>20</v>
      </c>
      <c r="Y14" s="11">
        <v>292.267</v>
      </c>
      <c r="Z14" s="11">
        <v>290.75700000000001</v>
      </c>
      <c r="AA14" s="11">
        <v>281.14</v>
      </c>
      <c r="AB14" s="11">
        <v>284.089</v>
      </c>
      <c r="AC14" s="11">
        <v>345.267</v>
      </c>
      <c r="AD14" s="10">
        <v>19.5</v>
      </c>
      <c r="AE14" s="10">
        <v>-2.5</v>
      </c>
      <c r="AF14" s="10">
        <v>3.6</v>
      </c>
      <c r="AG14" s="10">
        <v>25.1</v>
      </c>
      <c r="AH14" s="10">
        <v>-3.3</v>
      </c>
      <c r="AI14" s="10">
        <v>1</v>
      </c>
      <c r="AJ14" s="10">
        <v>21.5</v>
      </c>
    </row>
    <row r="15" spans="1:37" ht="16" x14ac:dyDescent="0.2">
      <c r="A15" s="2">
        <v>3</v>
      </c>
      <c r="B15" s="8" t="s">
        <v>32</v>
      </c>
      <c r="C15" s="11">
        <v>7.9000000000000001E-2</v>
      </c>
      <c r="D15" s="11">
        <v>373.39100000000002</v>
      </c>
      <c r="E15" s="11">
        <v>357.60199999999998</v>
      </c>
      <c r="F15" s="11">
        <v>346.654</v>
      </c>
      <c r="G15" s="11">
        <v>350.81900000000002</v>
      </c>
      <c r="H15" s="11">
        <v>363.98099999999999</v>
      </c>
      <c r="I15" s="11">
        <v>358.55099999999999</v>
      </c>
      <c r="J15" s="11">
        <v>357.863</v>
      </c>
      <c r="K15" s="4" t="s">
        <v>20</v>
      </c>
      <c r="L15" s="11">
        <v>385.55</v>
      </c>
      <c r="M15" s="11">
        <v>376.01299999999998</v>
      </c>
      <c r="N15" s="11">
        <v>364.916</v>
      </c>
      <c r="O15" s="11">
        <v>416.32</v>
      </c>
      <c r="P15" s="11">
        <v>536.96500000000003</v>
      </c>
      <c r="Q15" s="11">
        <v>361.25599999999997</v>
      </c>
      <c r="R15" s="11">
        <v>355.596</v>
      </c>
      <c r="S15" s="11">
        <v>357.29300000000001</v>
      </c>
      <c r="T15" s="11">
        <v>361.81799999999998</v>
      </c>
      <c r="U15" s="11">
        <v>365.83800000000002</v>
      </c>
      <c r="V15" s="11">
        <v>368.79399999999998</v>
      </c>
      <c r="W15" s="11">
        <v>370.09399999999999</v>
      </c>
      <c r="X15" s="4" t="s">
        <v>20</v>
      </c>
      <c r="Y15" s="11">
        <v>381.32</v>
      </c>
      <c r="Z15" s="11">
        <v>376.11799999999999</v>
      </c>
      <c r="AA15" s="11">
        <v>355.69600000000003</v>
      </c>
      <c r="AB15" s="11">
        <v>399.12200000000001</v>
      </c>
      <c r="AC15" s="11">
        <v>519.51499999999999</v>
      </c>
      <c r="AD15" s="10">
        <v>43.8</v>
      </c>
      <c r="AE15" s="10">
        <v>-3</v>
      </c>
      <c r="AF15" s="10">
        <v>14.1</v>
      </c>
      <c r="AG15" s="10">
        <v>29</v>
      </c>
      <c r="AH15" s="10">
        <v>-5.4</v>
      </c>
      <c r="AI15" s="10">
        <v>12.2</v>
      </c>
      <c r="AJ15" s="10">
        <v>30.2</v>
      </c>
    </row>
    <row r="16" spans="1:37" ht="16" x14ac:dyDescent="0.2">
      <c r="A16" s="2">
        <v>3</v>
      </c>
      <c r="B16" s="8" t="s">
        <v>33</v>
      </c>
      <c r="C16" s="11">
        <v>4.0780000000000003</v>
      </c>
      <c r="D16" s="11">
        <v>278.82900000000001</v>
      </c>
      <c r="E16" s="11">
        <v>286.87700000000001</v>
      </c>
      <c r="F16" s="11">
        <v>285.01400000000001</v>
      </c>
      <c r="G16" s="11">
        <v>285.31799999999998</v>
      </c>
      <c r="H16" s="11">
        <v>284.01400000000001</v>
      </c>
      <c r="I16" s="11">
        <v>284.95699999999999</v>
      </c>
      <c r="J16" s="11">
        <v>288.21800000000002</v>
      </c>
      <c r="K16" s="4" t="s">
        <v>20</v>
      </c>
      <c r="L16" s="11">
        <v>278.96800000000002</v>
      </c>
      <c r="M16" s="11">
        <v>263.51600000000002</v>
      </c>
      <c r="N16" s="11">
        <v>256.78399999999999</v>
      </c>
      <c r="O16" s="11">
        <v>265.524</v>
      </c>
      <c r="P16" s="11">
        <v>332.84500000000003</v>
      </c>
      <c r="Q16" s="11">
        <v>284.197</v>
      </c>
      <c r="R16" s="11">
        <v>277.65499999999997</v>
      </c>
      <c r="S16" s="11">
        <v>272.03399999999999</v>
      </c>
      <c r="T16" s="11">
        <v>272.37799999999999</v>
      </c>
      <c r="U16" s="11">
        <v>269.137</v>
      </c>
      <c r="V16" s="11">
        <v>273.63099999999997</v>
      </c>
      <c r="W16" s="11">
        <v>283.51</v>
      </c>
      <c r="X16" s="4" t="s">
        <v>20</v>
      </c>
      <c r="Y16" s="11">
        <v>287.45499999999998</v>
      </c>
      <c r="Z16" s="11">
        <v>286.00099999999998</v>
      </c>
      <c r="AA16" s="11">
        <v>276.57</v>
      </c>
      <c r="AB16" s="11">
        <v>278.98500000000001</v>
      </c>
      <c r="AC16" s="11">
        <v>339.25400000000002</v>
      </c>
      <c r="AD16" s="10">
        <v>19.399999999999999</v>
      </c>
      <c r="AE16" s="10">
        <v>-2.6</v>
      </c>
      <c r="AF16" s="10">
        <v>3.4</v>
      </c>
      <c r="AG16" s="10">
        <v>25.4</v>
      </c>
      <c r="AH16" s="10">
        <v>-3.3</v>
      </c>
      <c r="AI16" s="10">
        <v>0.9</v>
      </c>
      <c r="AJ16" s="10">
        <v>21.6</v>
      </c>
    </row>
    <row r="17" spans="1:36" ht="16" x14ac:dyDescent="0.2">
      <c r="A17" s="2">
        <v>4</v>
      </c>
      <c r="B17" s="9" t="s">
        <v>34</v>
      </c>
      <c r="C17" s="11">
        <v>3.972</v>
      </c>
      <c r="D17" s="11">
        <v>277.85899999999998</v>
      </c>
      <c r="E17" s="11">
        <v>286.13400000000001</v>
      </c>
      <c r="F17" s="11">
        <v>284.28699999999998</v>
      </c>
      <c r="G17" s="11">
        <v>284.52499999999998</v>
      </c>
      <c r="H17" s="11">
        <v>282.791</v>
      </c>
      <c r="I17" s="11">
        <v>283.79599999999999</v>
      </c>
      <c r="J17" s="11">
        <v>287.15100000000001</v>
      </c>
      <c r="K17" s="11">
        <v>278.40499999999997</v>
      </c>
      <c r="L17" s="11">
        <v>277.58199999999999</v>
      </c>
      <c r="M17" s="11">
        <v>262.029</v>
      </c>
      <c r="N17" s="11">
        <v>255.39400000000001</v>
      </c>
      <c r="O17" s="11">
        <v>264.09800000000001</v>
      </c>
      <c r="P17" s="11">
        <v>330.79500000000002</v>
      </c>
      <c r="Q17" s="11">
        <v>283.21899999999999</v>
      </c>
      <c r="R17" s="11">
        <v>276.76</v>
      </c>
      <c r="S17" s="11">
        <v>271.084</v>
      </c>
      <c r="T17" s="11">
        <v>271.31900000000002</v>
      </c>
      <c r="U17" s="11">
        <v>267.82400000000001</v>
      </c>
      <c r="V17" s="11">
        <v>272.29000000000002</v>
      </c>
      <c r="W17" s="11">
        <v>282.15100000000001</v>
      </c>
      <c r="X17" s="11">
        <v>278.25799999999998</v>
      </c>
      <c r="Y17" s="11">
        <v>286.16300000000001</v>
      </c>
      <c r="Z17" s="11">
        <v>284.62099999999998</v>
      </c>
      <c r="AA17" s="11">
        <v>275.274</v>
      </c>
      <c r="AB17" s="11">
        <v>277.63900000000001</v>
      </c>
      <c r="AC17" s="11">
        <v>337.178</v>
      </c>
      <c r="AD17" s="10">
        <v>19.100000000000001</v>
      </c>
      <c r="AE17" s="10">
        <v>-2.5</v>
      </c>
      <c r="AF17" s="10">
        <v>3.4</v>
      </c>
      <c r="AG17" s="10">
        <v>25.3</v>
      </c>
      <c r="AH17" s="10">
        <v>-3.3</v>
      </c>
      <c r="AI17" s="10">
        <v>0.9</v>
      </c>
      <c r="AJ17" s="10">
        <v>21.4</v>
      </c>
    </row>
    <row r="18" spans="1:36" ht="16" x14ac:dyDescent="0.2">
      <c r="A18" s="2">
        <v>2</v>
      </c>
      <c r="B18" s="7" t="s">
        <v>35</v>
      </c>
      <c r="C18" s="11">
        <v>3.883</v>
      </c>
      <c r="D18" s="11">
        <v>276.81099999999998</v>
      </c>
      <c r="E18" s="11">
        <v>278.63600000000002</v>
      </c>
      <c r="F18" s="11">
        <v>280.93599999999998</v>
      </c>
      <c r="G18" s="11">
        <v>288.52100000000002</v>
      </c>
      <c r="H18" s="11">
        <v>287.89299999999997</v>
      </c>
      <c r="I18" s="11">
        <v>286.80099999999999</v>
      </c>
      <c r="J18" s="11">
        <v>284.57799999999997</v>
      </c>
      <c r="K18" s="4" t="s">
        <v>20</v>
      </c>
      <c r="L18" s="11">
        <v>284.315</v>
      </c>
      <c r="M18" s="11">
        <v>287.39499999999998</v>
      </c>
      <c r="N18" s="11">
        <v>290.762</v>
      </c>
      <c r="O18" s="11">
        <v>291.70600000000002</v>
      </c>
      <c r="P18" s="11">
        <v>290.27800000000002</v>
      </c>
      <c r="Q18" s="11">
        <v>278.40600000000001</v>
      </c>
      <c r="R18" s="11">
        <v>282.09800000000001</v>
      </c>
      <c r="S18" s="11">
        <v>283.40899999999999</v>
      </c>
      <c r="T18" s="11">
        <v>284.69299999999998</v>
      </c>
      <c r="U18" s="11">
        <v>284.25799999999998</v>
      </c>
      <c r="V18" s="11">
        <v>283.71899999999999</v>
      </c>
      <c r="W18" s="11">
        <v>282.60000000000002</v>
      </c>
      <c r="X18" s="4" t="s">
        <v>20</v>
      </c>
      <c r="Y18" s="11">
        <v>286.83699999999999</v>
      </c>
      <c r="Z18" s="11">
        <v>289.80200000000002</v>
      </c>
      <c r="AA18" s="11">
        <v>289.91899999999998</v>
      </c>
      <c r="AB18" s="11">
        <v>291.75299999999999</v>
      </c>
      <c r="AC18" s="11">
        <v>291.95100000000002</v>
      </c>
      <c r="AD18" s="10">
        <v>4.9000000000000004</v>
      </c>
      <c r="AE18" s="10">
        <v>1.2</v>
      </c>
      <c r="AF18" s="10">
        <v>0.3</v>
      </c>
      <c r="AG18" s="10">
        <v>-0.5</v>
      </c>
      <c r="AH18" s="10">
        <v>0</v>
      </c>
      <c r="AI18" s="10">
        <v>0.6</v>
      </c>
      <c r="AJ18" s="10">
        <v>0.1</v>
      </c>
    </row>
    <row r="19" spans="1:36" ht="16" x14ac:dyDescent="0.2">
      <c r="A19" s="2">
        <v>3</v>
      </c>
      <c r="B19" s="8" t="s">
        <v>36</v>
      </c>
      <c r="C19" s="11">
        <v>3.0110000000000001</v>
      </c>
      <c r="D19" s="11">
        <v>282.31299999999999</v>
      </c>
      <c r="E19" s="11">
        <v>283.22500000000002</v>
      </c>
      <c r="F19" s="11">
        <v>286.43200000000002</v>
      </c>
      <c r="G19" s="11">
        <v>294.87200000000001</v>
      </c>
      <c r="H19" s="11">
        <v>294.56299999999999</v>
      </c>
      <c r="I19" s="11">
        <v>294.13499999999999</v>
      </c>
      <c r="J19" s="11">
        <v>292.43</v>
      </c>
      <c r="K19" s="4" t="s">
        <v>20</v>
      </c>
      <c r="L19" s="11">
        <v>290.31400000000002</v>
      </c>
      <c r="M19" s="11">
        <v>291.10399999999998</v>
      </c>
      <c r="N19" s="11">
        <v>295.024</v>
      </c>
      <c r="O19" s="11">
        <v>293.54000000000002</v>
      </c>
      <c r="P19" s="11">
        <v>295.178</v>
      </c>
      <c r="Q19" s="11">
        <v>283.79000000000002</v>
      </c>
      <c r="R19" s="11">
        <v>285.80200000000002</v>
      </c>
      <c r="S19" s="11">
        <v>288.10000000000002</v>
      </c>
      <c r="T19" s="11">
        <v>289.37799999999999</v>
      </c>
      <c r="U19" s="11">
        <v>289.20400000000001</v>
      </c>
      <c r="V19" s="11">
        <v>289.78699999999998</v>
      </c>
      <c r="W19" s="11">
        <v>288.94799999999998</v>
      </c>
      <c r="X19" s="4" t="s">
        <v>20</v>
      </c>
      <c r="Y19" s="11">
        <v>295.24099999999999</v>
      </c>
      <c r="Z19" s="11">
        <v>296.30099999999999</v>
      </c>
      <c r="AA19" s="11">
        <v>295.68400000000003</v>
      </c>
      <c r="AB19" s="11">
        <v>295.02999999999997</v>
      </c>
      <c r="AC19" s="11">
        <v>296.72399999999999</v>
      </c>
      <c r="AD19" s="10">
        <v>4.5999999999999996</v>
      </c>
      <c r="AE19" s="10">
        <v>1.3</v>
      </c>
      <c r="AF19" s="10">
        <v>-0.5</v>
      </c>
      <c r="AG19" s="10">
        <v>0.6</v>
      </c>
      <c r="AH19" s="10">
        <v>-0.2</v>
      </c>
      <c r="AI19" s="10">
        <v>-0.2</v>
      </c>
      <c r="AJ19" s="10">
        <v>0.6</v>
      </c>
    </row>
    <row r="20" spans="1:36" ht="16" x14ac:dyDescent="0.2">
      <c r="A20" s="2">
        <v>3</v>
      </c>
      <c r="B20" s="8" t="s">
        <v>37</v>
      </c>
      <c r="C20" s="11">
        <v>0.872</v>
      </c>
      <c r="D20" s="11">
        <v>249.59299999999999</v>
      </c>
      <c r="E20" s="11">
        <v>254.24100000000001</v>
      </c>
      <c r="F20" s="11">
        <v>253.58699999999999</v>
      </c>
      <c r="G20" s="11">
        <v>258.202</v>
      </c>
      <c r="H20" s="11">
        <v>256.584</v>
      </c>
      <c r="I20" s="11">
        <v>253.43199999999999</v>
      </c>
      <c r="J20" s="11">
        <v>249.649</v>
      </c>
      <c r="K20" s="4" t="s">
        <v>20</v>
      </c>
      <c r="L20" s="11">
        <v>255.26</v>
      </c>
      <c r="M20" s="11">
        <v>265.47300000000001</v>
      </c>
      <c r="N20" s="11">
        <v>266.93200000000002</v>
      </c>
      <c r="O20" s="11">
        <v>275.714</v>
      </c>
      <c r="P20" s="11">
        <v>264.399</v>
      </c>
      <c r="Q20" s="11">
        <v>251.50200000000001</v>
      </c>
      <c r="R20" s="11">
        <v>260.38</v>
      </c>
      <c r="S20" s="11">
        <v>258.51900000000001</v>
      </c>
      <c r="T20" s="11">
        <v>259.77800000000002</v>
      </c>
      <c r="U20" s="11">
        <v>258.53300000000002</v>
      </c>
      <c r="V20" s="11">
        <v>254.46299999999999</v>
      </c>
      <c r="W20" s="11">
        <v>252.499</v>
      </c>
      <c r="X20" s="4" t="s">
        <v>20</v>
      </c>
      <c r="Y20" s="11">
        <v>250.08099999999999</v>
      </c>
      <c r="Z20" s="11">
        <v>258.96600000000001</v>
      </c>
      <c r="AA20" s="11">
        <v>261.24700000000001</v>
      </c>
      <c r="AB20" s="11">
        <v>271.08199999999999</v>
      </c>
      <c r="AC20" s="11">
        <v>266.42200000000003</v>
      </c>
      <c r="AD20" s="10">
        <v>5.9</v>
      </c>
      <c r="AE20" s="10">
        <v>0.5</v>
      </c>
      <c r="AF20" s="10">
        <v>3.3</v>
      </c>
      <c r="AG20" s="10">
        <v>-4.0999999999999996</v>
      </c>
      <c r="AH20" s="10">
        <v>0.9</v>
      </c>
      <c r="AI20" s="10">
        <v>3.8</v>
      </c>
      <c r="AJ20" s="10">
        <v>-1.7</v>
      </c>
    </row>
    <row r="22" spans="1:36" ht="16" x14ac:dyDescent="0.2">
      <c r="A22" s="2">
        <v>1</v>
      </c>
      <c r="B22" s="6" t="s">
        <v>38</v>
      </c>
      <c r="C22" s="11">
        <v>77.012</v>
      </c>
      <c r="D22" s="11">
        <v>316.82499999999999</v>
      </c>
      <c r="E22" s="11">
        <v>317.59300000000002</v>
      </c>
      <c r="F22" s="11">
        <v>318.24700000000001</v>
      </c>
      <c r="G22" s="11">
        <v>319.09199999999998</v>
      </c>
      <c r="H22" s="11">
        <v>319.66000000000003</v>
      </c>
      <c r="I22" s="11">
        <v>320.67899999999997</v>
      </c>
      <c r="J22" s="11">
        <v>321.49299999999999</v>
      </c>
      <c r="K22" s="4" t="s">
        <v>20</v>
      </c>
      <c r="L22" s="11">
        <v>321.178</v>
      </c>
      <c r="M22" s="11">
        <v>321.08100000000002</v>
      </c>
      <c r="N22" s="11">
        <v>322.31</v>
      </c>
      <c r="O22" s="11">
        <v>323.327</v>
      </c>
      <c r="P22" s="11">
        <v>324.29899999999998</v>
      </c>
      <c r="Q22" s="11">
        <v>316.63499999999999</v>
      </c>
      <c r="R22" s="11">
        <v>317.334</v>
      </c>
      <c r="S22" s="11">
        <v>317.798</v>
      </c>
      <c r="T22" s="11">
        <v>318.51799999999997</v>
      </c>
      <c r="U22" s="11">
        <v>319.46600000000001</v>
      </c>
      <c r="V22" s="11">
        <v>320.39</v>
      </c>
      <c r="W22" s="11">
        <v>321.07299999999998</v>
      </c>
      <c r="X22" s="4" t="s">
        <v>20</v>
      </c>
      <c r="Y22" s="11">
        <v>321.733</v>
      </c>
      <c r="Z22" s="11">
        <v>322.23599999999999</v>
      </c>
      <c r="AA22" s="11">
        <v>323.03300000000002</v>
      </c>
      <c r="AB22" s="11">
        <v>323.56200000000001</v>
      </c>
      <c r="AC22" s="11">
        <v>324.11799999999999</v>
      </c>
      <c r="AD22" s="10">
        <v>2.4</v>
      </c>
      <c r="AE22" s="10">
        <v>0.4</v>
      </c>
      <c r="AF22" s="10">
        <v>0.3</v>
      </c>
      <c r="AG22" s="10">
        <v>0.3</v>
      </c>
      <c r="AH22" s="10">
        <v>0.2</v>
      </c>
      <c r="AI22" s="10">
        <v>0.2</v>
      </c>
      <c r="AJ22" s="10">
        <v>0.2</v>
      </c>
    </row>
    <row r="23" spans="1:36" ht="16" x14ac:dyDescent="0.2">
      <c r="A23" s="2">
        <v>2</v>
      </c>
      <c r="B23" s="7" t="s">
        <v>39</v>
      </c>
      <c r="C23" s="11">
        <v>19.911000000000001</v>
      </c>
      <c r="D23" s="11">
        <v>170.58600000000001</v>
      </c>
      <c r="E23" s="11">
        <v>170.87</v>
      </c>
      <c r="F23" s="11">
        <v>171.06100000000001</v>
      </c>
      <c r="G23" s="11">
        <v>171.774</v>
      </c>
      <c r="H23" s="11">
        <v>171.89699999999999</v>
      </c>
      <c r="I23" s="11">
        <v>172.733</v>
      </c>
      <c r="J23" s="11">
        <v>173.28399999999999</v>
      </c>
      <c r="K23" s="4" t="s">
        <v>20</v>
      </c>
      <c r="L23" s="11">
        <v>171.81100000000001</v>
      </c>
      <c r="M23" s="11">
        <v>171.01</v>
      </c>
      <c r="N23" s="11">
        <v>171.22499999999999</v>
      </c>
      <c r="O23" s="11">
        <v>171.84</v>
      </c>
      <c r="P23" s="11">
        <v>172.30600000000001</v>
      </c>
      <c r="Q23" s="11">
        <v>170.72900000000001</v>
      </c>
      <c r="R23" s="11">
        <v>170.875</v>
      </c>
      <c r="S23" s="11">
        <v>170.83799999999999</v>
      </c>
      <c r="T23" s="11">
        <v>171.066</v>
      </c>
      <c r="U23" s="11">
        <v>171.46600000000001</v>
      </c>
      <c r="V23" s="11">
        <v>171.94499999999999</v>
      </c>
      <c r="W23" s="11">
        <v>172.244</v>
      </c>
      <c r="X23" s="4" t="s">
        <v>20</v>
      </c>
      <c r="Y23" s="11">
        <v>172.37899999999999</v>
      </c>
      <c r="Z23" s="11">
        <v>172.392</v>
      </c>
      <c r="AA23" s="11">
        <v>172.38300000000001</v>
      </c>
      <c r="AB23" s="11">
        <v>172.41</v>
      </c>
      <c r="AC23" s="11">
        <v>172.46100000000001</v>
      </c>
      <c r="AD23" s="10">
        <v>1</v>
      </c>
      <c r="AE23" s="10">
        <v>0.1</v>
      </c>
      <c r="AF23" s="10">
        <v>0.4</v>
      </c>
      <c r="AG23" s="10">
        <v>0.3</v>
      </c>
      <c r="AH23" s="10">
        <v>0</v>
      </c>
      <c r="AI23" s="10">
        <v>0</v>
      </c>
      <c r="AJ23" s="10">
        <v>0</v>
      </c>
    </row>
    <row r="24" spans="1:36" ht="16" x14ac:dyDescent="0.2">
      <c r="A24" s="2">
        <v>3</v>
      </c>
      <c r="B24" s="8" t="s">
        <v>40</v>
      </c>
      <c r="C24" s="11">
        <v>2.8069999999999999</v>
      </c>
      <c r="D24" s="11">
        <v>133.898</v>
      </c>
      <c r="E24" s="11">
        <v>132.465</v>
      </c>
      <c r="F24" s="11">
        <v>131.42599999999999</v>
      </c>
      <c r="G24" s="11">
        <v>131.05199999999999</v>
      </c>
      <c r="H24" s="11">
        <v>129.37799999999999</v>
      </c>
      <c r="I24" s="11">
        <v>132.49199999999999</v>
      </c>
      <c r="J24" s="11">
        <v>135.79300000000001</v>
      </c>
      <c r="K24" s="4" t="s">
        <v>20</v>
      </c>
      <c r="L24" s="11">
        <v>129.97800000000001</v>
      </c>
      <c r="M24" s="11">
        <v>128.303</v>
      </c>
      <c r="N24" s="11">
        <v>130.66</v>
      </c>
      <c r="O24" s="11">
        <v>136.02699999999999</v>
      </c>
      <c r="P24" s="11">
        <v>138.25700000000001</v>
      </c>
      <c r="Q24" s="11">
        <v>131.29900000000001</v>
      </c>
      <c r="R24" s="11">
        <v>130.98699999999999</v>
      </c>
      <c r="S24" s="11">
        <v>130.94399999999999</v>
      </c>
      <c r="T24" s="11">
        <v>131.36500000000001</v>
      </c>
      <c r="U24" s="11">
        <v>131.649</v>
      </c>
      <c r="V24" s="11">
        <v>132.05799999999999</v>
      </c>
      <c r="W24" s="11">
        <v>132.81200000000001</v>
      </c>
      <c r="X24" s="4" t="s">
        <v>20</v>
      </c>
      <c r="Y24" s="11">
        <v>131.94900000000001</v>
      </c>
      <c r="Z24" s="11">
        <v>132.55699999999999</v>
      </c>
      <c r="AA24" s="11">
        <v>133.02000000000001</v>
      </c>
      <c r="AB24" s="11">
        <v>134.571</v>
      </c>
      <c r="AC24" s="11">
        <v>135.501</v>
      </c>
      <c r="AD24" s="10">
        <v>3.3</v>
      </c>
      <c r="AE24" s="10">
        <v>1.8</v>
      </c>
      <c r="AF24" s="10">
        <v>4.0999999999999996</v>
      </c>
      <c r="AG24" s="10">
        <v>1.6</v>
      </c>
      <c r="AH24" s="10">
        <v>0.3</v>
      </c>
      <c r="AI24" s="10">
        <v>1.2</v>
      </c>
      <c r="AJ24" s="10">
        <v>0.7</v>
      </c>
    </row>
    <row r="25" spans="1:36" ht="16" x14ac:dyDescent="0.2">
      <c r="A25" s="2">
        <v>3</v>
      </c>
      <c r="B25" s="8" t="s">
        <v>41</v>
      </c>
      <c r="C25" s="11">
        <v>3.319</v>
      </c>
      <c r="D25" s="11">
        <v>178.114</v>
      </c>
      <c r="E25" s="11">
        <v>178.75</v>
      </c>
      <c r="F25" s="11">
        <v>178.732</v>
      </c>
      <c r="G25" s="11">
        <v>178.458</v>
      </c>
      <c r="H25" s="11">
        <v>178.57400000000001</v>
      </c>
      <c r="I25" s="11">
        <v>178.715</v>
      </c>
      <c r="J25" s="11">
        <v>178.78399999999999</v>
      </c>
      <c r="K25" s="11">
        <v>178.726</v>
      </c>
      <c r="L25" s="11">
        <v>178.578</v>
      </c>
      <c r="M25" s="11">
        <v>178.059</v>
      </c>
      <c r="N25" s="11">
        <v>178.71600000000001</v>
      </c>
      <c r="O25" s="11">
        <v>178.852</v>
      </c>
      <c r="P25" s="11">
        <v>179.02099999999999</v>
      </c>
      <c r="Q25" s="11">
        <v>178.548</v>
      </c>
      <c r="R25" s="11">
        <v>178.70500000000001</v>
      </c>
      <c r="S25" s="11">
        <v>178.27</v>
      </c>
      <c r="T25" s="11">
        <v>177.78200000000001</v>
      </c>
      <c r="U25" s="11">
        <v>177.86099999999999</v>
      </c>
      <c r="V25" s="11">
        <v>178.28200000000001</v>
      </c>
      <c r="W25" s="11">
        <v>178.584</v>
      </c>
      <c r="X25" s="11">
        <v>178.65299999999999</v>
      </c>
      <c r="Y25" s="11">
        <v>178.94800000000001</v>
      </c>
      <c r="Z25" s="11">
        <v>178.952</v>
      </c>
      <c r="AA25" s="11">
        <v>179.22900000000001</v>
      </c>
      <c r="AB25" s="11">
        <v>179.255</v>
      </c>
      <c r="AC25" s="11">
        <v>179.45699999999999</v>
      </c>
      <c r="AD25" s="10">
        <v>0.5</v>
      </c>
      <c r="AE25" s="10">
        <v>0.4</v>
      </c>
      <c r="AF25" s="10">
        <v>0.1</v>
      </c>
      <c r="AG25" s="10">
        <v>0.1</v>
      </c>
      <c r="AH25" s="10">
        <v>0.2</v>
      </c>
      <c r="AI25" s="10">
        <v>0</v>
      </c>
      <c r="AJ25" s="10">
        <v>0.1</v>
      </c>
    </row>
    <row r="26" spans="1:36" ht="16" x14ac:dyDescent="0.2">
      <c r="A26" s="2">
        <v>3</v>
      </c>
      <c r="B26" s="8" t="s">
        <v>42</v>
      </c>
      <c r="C26" s="11">
        <v>3.46</v>
      </c>
      <c r="D26" s="11">
        <v>182.91399999999999</v>
      </c>
      <c r="E26" s="11">
        <v>183.92099999999999</v>
      </c>
      <c r="F26" s="11">
        <v>185.24</v>
      </c>
      <c r="G26" s="11">
        <v>187.68</v>
      </c>
      <c r="H26" s="11">
        <v>189.20599999999999</v>
      </c>
      <c r="I26" s="11">
        <v>190.005</v>
      </c>
      <c r="J26" s="11">
        <v>188.11600000000001</v>
      </c>
      <c r="K26" s="11">
        <v>187.95500000000001</v>
      </c>
      <c r="L26" s="11">
        <v>187.328</v>
      </c>
      <c r="M26" s="11">
        <v>184.28299999999999</v>
      </c>
      <c r="N26" s="11">
        <v>178.71100000000001</v>
      </c>
      <c r="O26" s="11">
        <v>176.608</v>
      </c>
      <c r="P26" s="11">
        <v>177.19900000000001</v>
      </c>
      <c r="Q26" s="11">
        <v>186.74</v>
      </c>
      <c r="R26" s="11">
        <v>185.86099999999999</v>
      </c>
      <c r="S26" s="11">
        <v>184.65299999999999</v>
      </c>
      <c r="T26" s="11">
        <v>183.79599999999999</v>
      </c>
      <c r="U26" s="11">
        <v>184.71</v>
      </c>
      <c r="V26" s="11">
        <v>186.27799999999999</v>
      </c>
      <c r="W26" s="11">
        <v>185.86500000000001</v>
      </c>
      <c r="X26" s="11">
        <v>187.137</v>
      </c>
      <c r="Y26" s="11">
        <v>187.291</v>
      </c>
      <c r="Z26" s="11">
        <v>185.68899999999999</v>
      </c>
      <c r="AA26" s="11">
        <v>182.27799999999999</v>
      </c>
      <c r="AB26" s="11">
        <v>181.69399999999999</v>
      </c>
      <c r="AC26" s="11">
        <v>180.90600000000001</v>
      </c>
      <c r="AD26" s="10">
        <v>-3.1</v>
      </c>
      <c r="AE26" s="10">
        <v>-3</v>
      </c>
      <c r="AF26" s="10">
        <v>-1.2</v>
      </c>
      <c r="AG26" s="10">
        <v>0.3</v>
      </c>
      <c r="AH26" s="10">
        <v>-1.8</v>
      </c>
      <c r="AI26" s="10">
        <v>-0.3</v>
      </c>
      <c r="AJ26" s="10">
        <v>-0.4</v>
      </c>
    </row>
    <row r="27" spans="1:36" ht="16" x14ac:dyDescent="0.2">
      <c r="A27" s="2">
        <v>3</v>
      </c>
      <c r="B27" s="8" t="s">
        <v>43</v>
      </c>
      <c r="C27" s="11">
        <v>1.3069999999999999</v>
      </c>
      <c r="D27" s="11">
        <v>401.92700000000002</v>
      </c>
      <c r="E27" s="11">
        <v>403.49200000000002</v>
      </c>
      <c r="F27" s="11">
        <v>405.46</v>
      </c>
      <c r="G27" s="11">
        <v>405.31200000000001</v>
      </c>
      <c r="H27" s="11">
        <v>405.64299999999997</v>
      </c>
      <c r="I27" s="11">
        <v>404.875</v>
      </c>
      <c r="J27" s="11">
        <v>404.55599999999998</v>
      </c>
      <c r="K27" s="4" t="s">
        <v>20</v>
      </c>
      <c r="L27" s="11">
        <v>405.58699999999999</v>
      </c>
      <c r="M27" s="11">
        <v>406.72399999999999</v>
      </c>
      <c r="N27" s="11">
        <v>406.315</v>
      </c>
      <c r="O27" s="11">
        <v>405.84399999999999</v>
      </c>
      <c r="P27" s="11">
        <v>401.64800000000002</v>
      </c>
      <c r="Q27" s="11">
        <v>401.92700000000002</v>
      </c>
      <c r="R27" s="11">
        <v>403.49200000000002</v>
      </c>
      <c r="S27" s="11">
        <v>405.46</v>
      </c>
      <c r="T27" s="11">
        <v>405.31200000000001</v>
      </c>
      <c r="U27" s="11">
        <v>405.64299999999997</v>
      </c>
      <c r="V27" s="11">
        <v>404.875</v>
      </c>
      <c r="W27" s="11">
        <v>404.55599999999998</v>
      </c>
      <c r="X27" s="4" t="s">
        <v>20</v>
      </c>
      <c r="Y27" s="11">
        <v>405.58699999999999</v>
      </c>
      <c r="Z27" s="11">
        <v>406.72399999999999</v>
      </c>
      <c r="AA27" s="11">
        <v>406.315</v>
      </c>
      <c r="AB27" s="11">
        <v>405.84399999999999</v>
      </c>
      <c r="AC27" s="11">
        <v>401.64800000000002</v>
      </c>
      <c r="AD27" s="10">
        <v>-0.1</v>
      </c>
      <c r="AE27" s="10">
        <v>-0.1</v>
      </c>
      <c r="AF27" s="10">
        <v>-0.1</v>
      </c>
      <c r="AG27" s="10">
        <v>-1</v>
      </c>
      <c r="AH27" s="10">
        <v>-0.1</v>
      </c>
      <c r="AI27" s="10">
        <v>-0.1</v>
      </c>
      <c r="AJ27" s="10">
        <v>-1</v>
      </c>
    </row>
    <row r="28" spans="1:36" ht="16" x14ac:dyDescent="0.2">
      <c r="A28" s="2">
        <v>3</v>
      </c>
      <c r="B28" s="8" t="s">
        <v>44</v>
      </c>
      <c r="C28" s="11">
        <v>0.68700000000000006</v>
      </c>
      <c r="D28" s="11">
        <v>301.57600000000002</v>
      </c>
      <c r="E28" s="11">
        <v>302.02800000000002</v>
      </c>
      <c r="F28" s="11">
        <v>301.48</v>
      </c>
      <c r="G28" s="11">
        <v>301.84800000000001</v>
      </c>
      <c r="H28" s="11">
        <v>302.45699999999999</v>
      </c>
      <c r="I28" s="11">
        <v>303.79599999999999</v>
      </c>
      <c r="J28" s="11">
        <v>304.37299999999999</v>
      </c>
      <c r="K28" s="4" t="s">
        <v>20</v>
      </c>
      <c r="L28" s="11">
        <v>305.14299999999997</v>
      </c>
      <c r="M28" s="11">
        <v>305.14299999999997</v>
      </c>
      <c r="N28" s="11">
        <v>306.27199999999999</v>
      </c>
      <c r="O28" s="11">
        <v>306.21899999999999</v>
      </c>
      <c r="P28" s="11">
        <v>306.88799999999998</v>
      </c>
      <c r="Q28" s="11">
        <v>301.57600000000002</v>
      </c>
      <c r="R28" s="11">
        <v>302.02800000000002</v>
      </c>
      <c r="S28" s="11">
        <v>301.48</v>
      </c>
      <c r="T28" s="11">
        <v>301.84800000000001</v>
      </c>
      <c r="U28" s="11">
        <v>302.45699999999999</v>
      </c>
      <c r="V28" s="11">
        <v>303.79599999999999</v>
      </c>
      <c r="W28" s="11">
        <v>304.37299999999999</v>
      </c>
      <c r="X28" s="4" t="s">
        <v>20</v>
      </c>
      <c r="Y28" s="11">
        <v>305.14299999999997</v>
      </c>
      <c r="Z28" s="11">
        <v>305.14299999999997</v>
      </c>
      <c r="AA28" s="11">
        <v>306.27199999999999</v>
      </c>
      <c r="AB28" s="11">
        <v>306.21899999999999</v>
      </c>
      <c r="AC28" s="11">
        <v>306.88799999999998</v>
      </c>
      <c r="AD28" s="10">
        <v>1.8</v>
      </c>
      <c r="AE28" s="10">
        <v>0.4</v>
      </c>
      <c r="AF28" s="10">
        <v>0</v>
      </c>
      <c r="AG28" s="10">
        <v>0.2</v>
      </c>
      <c r="AH28" s="10">
        <v>0.4</v>
      </c>
      <c r="AI28" s="10">
        <v>0</v>
      </c>
      <c r="AJ28" s="10">
        <v>0.2</v>
      </c>
    </row>
    <row r="29" spans="1:36" ht="16" x14ac:dyDescent="0.2">
      <c r="A29" s="2">
        <v>3</v>
      </c>
      <c r="B29" s="8" t="s">
        <v>45</v>
      </c>
      <c r="C29" s="11">
        <v>0.77700000000000002</v>
      </c>
      <c r="D29" s="11">
        <v>1627</v>
      </c>
      <c r="E29" s="11">
        <v>1632.174</v>
      </c>
      <c r="F29" s="11">
        <v>1647.048</v>
      </c>
      <c r="G29" s="11">
        <v>1657.682</v>
      </c>
      <c r="H29" s="11">
        <v>1662.8969999999999</v>
      </c>
      <c r="I29" s="11">
        <v>1678.2470000000001</v>
      </c>
      <c r="J29" s="11">
        <v>1689.4449999999999</v>
      </c>
      <c r="K29" s="4" t="s">
        <v>20</v>
      </c>
      <c r="L29" s="11">
        <v>1714.356</v>
      </c>
      <c r="M29" s="11">
        <v>1714.4490000000001</v>
      </c>
      <c r="N29" s="11">
        <v>1748.681</v>
      </c>
      <c r="O29" s="11">
        <v>1748.7470000000001</v>
      </c>
      <c r="P29" s="11">
        <v>1751.2070000000001</v>
      </c>
      <c r="Q29" s="11">
        <v>1627</v>
      </c>
      <c r="R29" s="11">
        <v>1632.174</v>
      </c>
      <c r="S29" s="11">
        <v>1647.048</v>
      </c>
      <c r="T29" s="11">
        <v>1657.682</v>
      </c>
      <c r="U29" s="11">
        <v>1662.8969999999999</v>
      </c>
      <c r="V29" s="11">
        <v>1678.2470000000001</v>
      </c>
      <c r="W29" s="11">
        <v>1689.4449999999999</v>
      </c>
      <c r="X29" s="4" t="s">
        <v>20</v>
      </c>
      <c r="Y29" s="11">
        <v>1714.356</v>
      </c>
      <c r="Z29" s="11">
        <v>1714.4490000000001</v>
      </c>
      <c r="AA29" s="11">
        <v>1748.681</v>
      </c>
      <c r="AB29" s="11">
        <v>1748.7470000000001</v>
      </c>
      <c r="AC29" s="11">
        <v>1751.2070000000001</v>
      </c>
      <c r="AD29" s="10">
        <v>7.6</v>
      </c>
      <c r="AE29" s="10">
        <v>2</v>
      </c>
      <c r="AF29" s="10">
        <v>0</v>
      </c>
      <c r="AG29" s="10">
        <v>0.1</v>
      </c>
      <c r="AH29" s="10">
        <v>2</v>
      </c>
      <c r="AI29" s="10">
        <v>0</v>
      </c>
      <c r="AJ29" s="10">
        <v>0.1</v>
      </c>
    </row>
    <row r="30" spans="1:36" ht="16" x14ac:dyDescent="0.2">
      <c r="A30" s="2">
        <v>2</v>
      </c>
      <c r="B30" s="7" t="s">
        <v>46</v>
      </c>
      <c r="C30" s="11">
        <v>57.100999999999999</v>
      </c>
      <c r="D30" s="11">
        <v>423.15199999999999</v>
      </c>
      <c r="E30" s="11">
        <v>424.29700000000003</v>
      </c>
      <c r="F30" s="11">
        <v>425.31799999999998</v>
      </c>
      <c r="G30" s="11">
        <v>426.209</v>
      </c>
      <c r="H30" s="11">
        <v>427.13400000000001</v>
      </c>
      <c r="I30" s="11">
        <v>428.233</v>
      </c>
      <c r="J30" s="11">
        <v>429.21800000000002</v>
      </c>
      <c r="K30" s="4" t="s">
        <v>20</v>
      </c>
      <c r="L30" s="11">
        <v>429.988</v>
      </c>
      <c r="M30" s="11">
        <v>430.54399999999998</v>
      </c>
      <c r="N30" s="11">
        <v>432.57799999999997</v>
      </c>
      <c r="O30" s="11">
        <v>433.87799999999999</v>
      </c>
      <c r="P30" s="11">
        <v>435.22500000000002</v>
      </c>
      <c r="Q30" s="11">
        <v>422.63799999999998</v>
      </c>
      <c r="R30" s="11">
        <v>423.86099999999999</v>
      </c>
      <c r="S30" s="11">
        <v>424.66300000000001</v>
      </c>
      <c r="T30" s="11">
        <v>425.82100000000003</v>
      </c>
      <c r="U30" s="11">
        <v>427.24900000000002</v>
      </c>
      <c r="V30" s="11">
        <v>428.44400000000002</v>
      </c>
      <c r="W30" s="11">
        <v>429.44200000000001</v>
      </c>
      <c r="X30" s="4" t="s">
        <v>20</v>
      </c>
      <c r="Y30" s="11">
        <v>430.48399999999998</v>
      </c>
      <c r="Z30" s="11">
        <v>431.29599999999999</v>
      </c>
      <c r="AA30" s="11">
        <v>432.84399999999999</v>
      </c>
      <c r="AB30" s="11">
        <v>433.77300000000002</v>
      </c>
      <c r="AC30" s="11">
        <v>434.72500000000002</v>
      </c>
      <c r="AD30" s="10">
        <v>2.9</v>
      </c>
      <c r="AE30" s="10">
        <v>0.5</v>
      </c>
      <c r="AF30" s="10">
        <v>0.3</v>
      </c>
      <c r="AG30" s="10">
        <v>0.3</v>
      </c>
      <c r="AH30" s="10">
        <v>0.4</v>
      </c>
      <c r="AI30" s="10">
        <v>0.2</v>
      </c>
      <c r="AJ30" s="10">
        <v>0.2</v>
      </c>
    </row>
    <row r="31" spans="1:36" ht="16" x14ac:dyDescent="0.2">
      <c r="A31" s="2">
        <v>3</v>
      </c>
      <c r="B31" s="8" t="s">
        <v>47</v>
      </c>
      <c r="C31" s="11">
        <v>33.521999999999998</v>
      </c>
      <c r="D31" s="11">
        <v>403.916</v>
      </c>
      <c r="E31" s="11">
        <v>405.12</v>
      </c>
      <c r="F31" s="11">
        <v>406.31799999999998</v>
      </c>
      <c r="G31" s="11">
        <v>407.05399999999997</v>
      </c>
      <c r="H31" s="11">
        <v>407.86900000000003</v>
      </c>
      <c r="I31" s="11">
        <v>409.43599999999998</v>
      </c>
      <c r="J31" s="11">
        <v>410.40100000000001</v>
      </c>
      <c r="K31" s="4" t="s">
        <v>20</v>
      </c>
      <c r="L31" s="11">
        <v>410.69400000000002</v>
      </c>
      <c r="M31" s="11">
        <v>412.09899999999999</v>
      </c>
      <c r="N31" s="11">
        <v>413.38499999999999</v>
      </c>
      <c r="O31" s="11">
        <v>414.334</v>
      </c>
      <c r="P31" s="11">
        <v>415.78800000000001</v>
      </c>
      <c r="Q31" s="11">
        <v>403.61</v>
      </c>
      <c r="R31" s="11">
        <v>404.88</v>
      </c>
      <c r="S31" s="11">
        <v>405.99700000000001</v>
      </c>
      <c r="T31" s="11">
        <v>406.875</v>
      </c>
      <c r="U31" s="11">
        <v>407.84800000000001</v>
      </c>
      <c r="V31" s="11">
        <v>409.31099999999998</v>
      </c>
      <c r="W31" s="11">
        <v>410.322</v>
      </c>
      <c r="X31" s="4" t="s">
        <v>20</v>
      </c>
      <c r="Y31" s="11">
        <v>411.23</v>
      </c>
      <c r="Z31" s="11">
        <v>412.57299999999998</v>
      </c>
      <c r="AA31" s="11">
        <v>413.50200000000001</v>
      </c>
      <c r="AB31" s="11">
        <v>414.34500000000003</v>
      </c>
      <c r="AC31" s="11">
        <v>415.46499999999997</v>
      </c>
      <c r="AD31" s="10">
        <v>2.9</v>
      </c>
      <c r="AE31" s="10">
        <v>0.3</v>
      </c>
      <c r="AF31" s="10">
        <v>0.2</v>
      </c>
      <c r="AG31" s="10">
        <v>0.4</v>
      </c>
      <c r="AH31" s="10">
        <v>0.2</v>
      </c>
      <c r="AI31" s="10">
        <v>0.2</v>
      </c>
      <c r="AJ31" s="10">
        <v>0.3</v>
      </c>
    </row>
    <row r="32" spans="1:36" ht="16" x14ac:dyDescent="0.2">
      <c r="A32" s="2">
        <v>4</v>
      </c>
      <c r="B32" s="9" t="s">
        <v>48</v>
      </c>
      <c r="C32" s="11">
        <v>10.654</v>
      </c>
      <c r="D32" s="11">
        <v>429.738</v>
      </c>
      <c r="E32" s="11">
        <v>430.88799999999998</v>
      </c>
      <c r="F32" s="11">
        <v>431.63799999999998</v>
      </c>
      <c r="G32" s="11">
        <v>432.51600000000002</v>
      </c>
      <c r="H32" s="11">
        <v>433.38200000000001</v>
      </c>
      <c r="I32" s="11">
        <v>434.904</v>
      </c>
      <c r="J32" s="11">
        <v>436.15100000000001</v>
      </c>
      <c r="K32" s="4" t="s">
        <v>20</v>
      </c>
      <c r="L32" s="11">
        <v>437.22399999999999</v>
      </c>
      <c r="M32" s="11">
        <v>438.56</v>
      </c>
      <c r="N32" s="11">
        <v>439.65699999999998</v>
      </c>
      <c r="O32" s="11">
        <v>440.09300000000002</v>
      </c>
      <c r="P32" s="11">
        <v>440.80200000000002</v>
      </c>
      <c r="Q32" s="11">
        <v>429.56099999999998</v>
      </c>
      <c r="R32" s="11">
        <v>430.94400000000002</v>
      </c>
      <c r="S32" s="11">
        <v>431.92200000000003</v>
      </c>
      <c r="T32" s="11">
        <v>432.94799999999998</v>
      </c>
      <c r="U32" s="11">
        <v>433.964</v>
      </c>
      <c r="V32" s="11">
        <v>435.267</v>
      </c>
      <c r="W32" s="11">
        <v>436.21800000000002</v>
      </c>
      <c r="X32" s="4" t="s">
        <v>20</v>
      </c>
      <c r="Y32" s="11">
        <v>436.95400000000001</v>
      </c>
      <c r="Z32" s="11">
        <v>438.07900000000001</v>
      </c>
      <c r="AA32" s="11">
        <v>439.22199999999998</v>
      </c>
      <c r="AB32" s="11">
        <v>439.78899999999999</v>
      </c>
      <c r="AC32" s="11">
        <v>440.62099999999998</v>
      </c>
      <c r="AD32" s="10">
        <v>2.6</v>
      </c>
      <c r="AE32" s="10">
        <v>0.3</v>
      </c>
      <c r="AF32" s="10">
        <v>0.1</v>
      </c>
      <c r="AG32" s="10">
        <v>0.2</v>
      </c>
      <c r="AH32" s="10">
        <v>0.3</v>
      </c>
      <c r="AI32" s="10">
        <v>0.1</v>
      </c>
      <c r="AJ32" s="10">
        <v>0.2</v>
      </c>
    </row>
    <row r="33" spans="1:36" ht="18" x14ac:dyDescent="0.2">
      <c r="A33" s="2">
        <v>4</v>
      </c>
      <c r="B33" s="9" t="s">
        <v>49</v>
      </c>
      <c r="C33" s="11">
        <v>21.721</v>
      </c>
      <c r="D33" s="11">
        <v>382.53399999999999</v>
      </c>
      <c r="E33" s="11">
        <v>383.57900000000001</v>
      </c>
      <c r="F33" s="11">
        <v>384.58699999999999</v>
      </c>
      <c r="G33" s="11">
        <v>385.66800000000001</v>
      </c>
      <c r="H33" s="11">
        <v>386.697</v>
      </c>
      <c r="I33" s="11">
        <v>388.29199999999997</v>
      </c>
      <c r="J33" s="11">
        <v>389.14400000000001</v>
      </c>
      <c r="K33" s="4" t="s">
        <v>20</v>
      </c>
      <c r="L33" s="11">
        <v>390.536</v>
      </c>
      <c r="M33" s="11">
        <v>391.71199999999999</v>
      </c>
      <c r="N33" s="11">
        <v>392.69499999999999</v>
      </c>
      <c r="O33" s="11">
        <v>393.30399999999997</v>
      </c>
      <c r="P33" s="11">
        <v>394.26100000000002</v>
      </c>
      <c r="Q33" s="11">
        <v>382.47800000000001</v>
      </c>
      <c r="R33" s="11">
        <v>383.74900000000002</v>
      </c>
      <c r="S33" s="11">
        <v>384.84100000000001</v>
      </c>
      <c r="T33" s="11">
        <v>386.01499999999999</v>
      </c>
      <c r="U33" s="11">
        <v>387.09699999999998</v>
      </c>
      <c r="V33" s="11">
        <v>388.387</v>
      </c>
      <c r="W33" s="11">
        <v>389.07100000000003</v>
      </c>
      <c r="X33" s="4" t="s">
        <v>20</v>
      </c>
      <c r="Y33" s="11">
        <v>390.423</v>
      </c>
      <c r="Z33" s="11">
        <v>391.42899999999997</v>
      </c>
      <c r="AA33" s="11">
        <v>392.27499999999998</v>
      </c>
      <c r="AB33" s="11">
        <v>393.10300000000001</v>
      </c>
      <c r="AC33" s="11">
        <v>394.202</v>
      </c>
      <c r="AD33" s="10">
        <v>3.1</v>
      </c>
      <c r="AE33" s="10">
        <v>0.3</v>
      </c>
      <c r="AF33" s="10">
        <v>0.2</v>
      </c>
      <c r="AG33" s="10">
        <v>0.2</v>
      </c>
      <c r="AH33" s="10">
        <v>0.2</v>
      </c>
      <c r="AI33" s="10">
        <v>0.2</v>
      </c>
      <c r="AJ33" s="10">
        <v>0.3</v>
      </c>
    </row>
    <row r="34" spans="1:36" ht="16" x14ac:dyDescent="0.2">
      <c r="A34" s="2">
        <v>3</v>
      </c>
      <c r="B34" s="8" t="s">
        <v>50</v>
      </c>
      <c r="C34" s="11">
        <v>6.2889999999999997</v>
      </c>
      <c r="D34" s="11">
        <v>638.17700000000002</v>
      </c>
      <c r="E34" s="11">
        <v>640.53</v>
      </c>
      <c r="F34" s="11">
        <v>642.11500000000001</v>
      </c>
      <c r="G34" s="11">
        <v>646.495</v>
      </c>
      <c r="H34" s="11">
        <v>650.83600000000001</v>
      </c>
      <c r="I34" s="11">
        <v>651.59</v>
      </c>
      <c r="J34" s="11">
        <v>652.41499999999996</v>
      </c>
      <c r="K34" s="4" t="s">
        <v>20</v>
      </c>
      <c r="L34" s="11">
        <v>652.74400000000003</v>
      </c>
      <c r="M34" s="11">
        <v>654.82399999999996</v>
      </c>
      <c r="N34" s="11">
        <v>658.18100000000004</v>
      </c>
      <c r="O34" s="11">
        <v>661.125</v>
      </c>
      <c r="P34" s="11">
        <v>660.47</v>
      </c>
      <c r="Q34" s="11">
        <v>637.51</v>
      </c>
      <c r="R34" s="11">
        <v>640.35</v>
      </c>
      <c r="S34" s="11">
        <v>641.96699999999998</v>
      </c>
      <c r="T34" s="11">
        <v>645.928</v>
      </c>
      <c r="U34" s="11">
        <v>651.93299999999999</v>
      </c>
      <c r="V34" s="11">
        <v>651.72</v>
      </c>
      <c r="W34" s="11">
        <v>652.77200000000005</v>
      </c>
      <c r="X34" s="4" t="s">
        <v>20</v>
      </c>
      <c r="Y34" s="11">
        <v>653.48500000000001</v>
      </c>
      <c r="Z34" s="11">
        <v>655.58199999999999</v>
      </c>
      <c r="AA34" s="11">
        <v>657.024</v>
      </c>
      <c r="AB34" s="11">
        <v>660.69500000000005</v>
      </c>
      <c r="AC34" s="11">
        <v>659.77700000000004</v>
      </c>
      <c r="AD34" s="10">
        <v>3.5</v>
      </c>
      <c r="AE34" s="10">
        <v>0.5</v>
      </c>
      <c r="AF34" s="10">
        <v>0.4</v>
      </c>
      <c r="AG34" s="10">
        <v>-0.1</v>
      </c>
      <c r="AH34" s="10">
        <v>0.2</v>
      </c>
      <c r="AI34" s="10">
        <v>0.6</v>
      </c>
      <c r="AJ34" s="10">
        <v>-0.1</v>
      </c>
    </row>
    <row r="35" spans="1:36" ht="16" x14ac:dyDescent="0.2">
      <c r="A35" s="2">
        <v>4</v>
      </c>
      <c r="B35" s="9" t="s">
        <v>51</v>
      </c>
      <c r="C35" s="11">
        <v>1.4390000000000001</v>
      </c>
      <c r="D35" s="11">
        <v>432.24099999999999</v>
      </c>
      <c r="E35" s="11">
        <v>433.67700000000002</v>
      </c>
      <c r="F35" s="11">
        <v>432.82</v>
      </c>
      <c r="G35" s="11">
        <v>433.75</v>
      </c>
      <c r="H35" s="11">
        <v>434.70499999999998</v>
      </c>
      <c r="I35" s="11">
        <v>435.95699999999999</v>
      </c>
      <c r="J35" s="11">
        <v>435.37799999999999</v>
      </c>
      <c r="K35" s="4" t="s">
        <v>20</v>
      </c>
      <c r="L35" s="11">
        <v>435.47899999999998</v>
      </c>
      <c r="M35" s="11">
        <v>436.62799999999999</v>
      </c>
      <c r="N35" s="11">
        <v>437.94799999999998</v>
      </c>
      <c r="O35" s="11">
        <v>439.04199999999997</v>
      </c>
      <c r="P35" s="11">
        <v>441.803</v>
      </c>
      <c r="Q35" s="11">
        <v>432.24099999999999</v>
      </c>
      <c r="R35" s="11">
        <v>433.67700000000002</v>
      </c>
      <c r="S35" s="11">
        <v>432.82</v>
      </c>
      <c r="T35" s="11">
        <v>433.75</v>
      </c>
      <c r="U35" s="11">
        <v>434.70499999999998</v>
      </c>
      <c r="V35" s="11">
        <v>435.95699999999999</v>
      </c>
      <c r="W35" s="11">
        <v>435.37799999999999</v>
      </c>
      <c r="X35" s="4" t="s">
        <v>20</v>
      </c>
      <c r="Y35" s="11">
        <v>435.47899999999998</v>
      </c>
      <c r="Z35" s="11">
        <v>436.62799999999999</v>
      </c>
      <c r="AA35" s="11">
        <v>437.94799999999998</v>
      </c>
      <c r="AB35" s="11">
        <v>439.04199999999997</v>
      </c>
      <c r="AC35" s="11">
        <v>441.803</v>
      </c>
      <c r="AD35" s="10">
        <v>2.2000000000000002</v>
      </c>
      <c r="AE35" s="10">
        <v>0.3</v>
      </c>
      <c r="AF35" s="10">
        <v>0.2</v>
      </c>
      <c r="AG35" s="10">
        <v>0.6</v>
      </c>
      <c r="AH35" s="10">
        <v>0.3</v>
      </c>
      <c r="AI35" s="10">
        <v>0.2</v>
      </c>
      <c r="AJ35" s="10">
        <v>0.6</v>
      </c>
    </row>
    <row r="36" spans="1:36" ht="18" x14ac:dyDescent="0.2">
      <c r="A36" s="2">
        <v>4</v>
      </c>
      <c r="B36" s="9" t="s">
        <v>52</v>
      </c>
      <c r="C36" s="11">
        <v>2.141</v>
      </c>
      <c r="D36" s="11">
        <v>426.06400000000002</v>
      </c>
      <c r="E36" s="11">
        <v>428.089</v>
      </c>
      <c r="F36" s="11">
        <v>430.75200000000001</v>
      </c>
      <c r="G36" s="11">
        <v>433.76600000000002</v>
      </c>
      <c r="H36" s="11">
        <v>436.25799999999998</v>
      </c>
      <c r="I36" s="11">
        <v>436.85300000000001</v>
      </c>
      <c r="J36" s="11">
        <v>437.5</v>
      </c>
      <c r="K36" s="4" t="s">
        <v>20</v>
      </c>
      <c r="L36" s="11">
        <v>441.17200000000003</v>
      </c>
      <c r="M36" s="11">
        <v>445.64100000000002</v>
      </c>
      <c r="N36" s="11">
        <v>449.113</v>
      </c>
      <c r="O36" s="11">
        <v>451.71899999999999</v>
      </c>
      <c r="P36" s="11">
        <v>453.78699999999998</v>
      </c>
      <c r="Q36" s="11">
        <v>426.06400000000002</v>
      </c>
      <c r="R36" s="11">
        <v>428.089</v>
      </c>
      <c r="S36" s="11">
        <v>430.75200000000001</v>
      </c>
      <c r="T36" s="11">
        <v>433.76600000000002</v>
      </c>
      <c r="U36" s="11">
        <v>436.25799999999998</v>
      </c>
      <c r="V36" s="11">
        <v>436.85300000000001</v>
      </c>
      <c r="W36" s="11">
        <v>437.5</v>
      </c>
      <c r="X36" s="4" t="s">
        <v>20</v>
      </c>
      <c r="Y36" s="11">
        <v>441.17200000000003</v>
      </c>
      <c r="Z36" s="11">
        <v>445.64100000000002</v>
      </c>
      <c r="AA36" s="11">
        <v>449.113</v>
      </c>
      <c r="AB36" s="11">
        <v>451.71899999999999</v>
      </c>
      <c r="AC36" s="11">
        <v>453.78699999999998</v>
      </c>
      <c r="AD36" s="10">
        <v>6.5</v>
      </c>
      <c r="AE36" s="10">
        <v>0.8</v>
      </c>
      <c r="AF36" s="10">
        <v>0.6</v>
      </c>
      <c r="AG36" s="10">
        <v>0.5</v>
      </c>
      <c r="AH36" s="10">
        <v>0.8</v>
      </c>
      <c r="AI36" s="10">
        <v>0.6</v>
      </c>
      <c r="AJ36" s="10">
        <v>0.5</v>
      </c>
    </row>
    <row r="37" spans="1:36" ht="16" x14ac:dyDescent="0.2">
      <c r="A37" s="2">
        <v>3</v>
      </c>
      <c r="B37" s="8" t="s">
        <v>53</v>
      </c>
      <c r="C37" s="11">
        <v>6.8140000000000001</v>
      </c>
      <c r="D37" s="11">
        <v>475.67700000000002</v>
      </c>
      <c r="E37" s="11">
        <v>478.32</v>
      </c>
      <c r="F37" s="11">
        <v>479.73500000000001</v>
      </c>
      <c r="G37" s="11">
        <v>479.18700000000001</v>
      </c>
      <c r="H37" s="11">
        <v>478.67200000000003</v>
      </c>
      <c r="I37" s="11">
        <v>478.464</v>
      </c>
      <c r="J37" s="11">
        <v>478.45100000000002</v>
      </c>
      <c r="K37" s="4" t="s">
        <v>20</v>
      </c>
      <c r="L37" s="11">
        <v>480.63</v>
      </c>
      <c r="M37" s="11">
        <v>479.08300000000003</v>
      </c>
      <c r="N37" s="11">
        <v>483.98500000000001</v>
      </c>
      <c r="O37" s="11">
        <v>486.733</v>
      </c>
      <c r="P37" s="11">
        <v>491.714</v>
      </c>
      <c r="Q37" s="11">
        <v>473.63600000000002</v>
      </c>
      <c r="R37" s="11">
        <v>475.858</v>
      </c>
      <c r="S37" s="11">
        <v>475.39400000000001</v>
      </c>
      <c r="T37" s="11">
        <v>476.339</v>
      </c>
      <c r="U37" s="11">
        <v>478.46100000000001</v>
      </c>
      <c r="V37" s="11">
        <v>480.97199999999998</v>
      </c>
      <c r="W37" s="11">
        <v>481.31200000000001</v>
      </c>
      <c r="X37" s="4" t="s">
        <v>20</v>
      </c>
      <c r="Y37" s="11">
        <v>481.416</v>
      </c>
      <c r="Z37" s="11">
        <v>482.584</v>
      </c>
      <c r="AA37" s="11">
        <v>486.75400000000002</v>
      </c>
      <c r="AB37" s="11">
        <v>486.565</v>
      </c>
      <c r="AC37" s="11">
        <v>489.73200000000003</v>
      </c>
      <c r="AD37" s="10">
        <v>3.4</v>
      </c>
      <c r="AE37" s="10">
        <v>1</v>
      </c>
      <c r="AF37" s="10">
        <v>0.6</v>
      </c>
      <c r="AG37" s="10">
        <v>1</v>
      </c>
      <c r="AH37" s="10">
        <v>0.9</v>
      </c>
      <c r="AI37" s="10">
        <v>0</v>
      </c>
      <c r="AJ37" s="10">
        <v>0.7</v>
      </c>
    </row>
    <row r="38" spans="1:36" ht="16" x14ac:dyDescent="0.2">
      <c r="A38" s="2">
        <v>4</v>
      </c>
      <c r="B38" s="9" t="s">
        <v>54</v>
      </c>
      <c r="C38" s="11">
        <v>1.198</v>
      </c>
      <c r="D38" s="11">
        <v>432.62200000000001</v>
      </c>
      <c r="E38" s="11">
        <v>435.42099999999999</v>
      </c>
      <c r="F38" s="11">
        <v>434.21600000000001</v>
      </c>
      <c r="G38" s="11">
        <v>435.35899999999998</v>
      </c>
      <c r="H38" s="11">
        <v>440.03699999999998</v>
      </c>
      <c r="I38" s="11">
        <v>447.048</v>
      </c>
      <c r="J38" s="11">
        <v>448.19600000000003</v>
      </c>
      <c r="K38" s="4" t="s">
        <v>20</v>
      </c>
      <c r="L38" s="11">
        <v>451.09399999999999</v>
      </c>
      <c r="M38" s="11">
        <v>449.625</v>
      </c>
      <c r="N38" s="11">
        <v>450.24200000000002</v>
      </c>
      <c r="O38" s="11">
        <v>454.68900000000002</v>
      </c>
      <c r="P38" s="11">
        <v>460.846</v>
      </c>
      <c r="Q38" s="11">
        <v>432.62200000000001</v>
      </c>
      <c r="R38" s="11">
        <v>435.42099999999999</v>
      </c>
      <c r="S38" s="11">
        <v>434.21600000000001</v>
      </c>
      <c r="T38" s="11">
        <v>435.35899999999998</v>
      </c>
      <c r="U38" s="11">
        <v>440.03699999999998</v>
      </c>
      <c r="V38" s="11">
        <v>447.048</v>
      </c>
      <c r="W38" s="11">
        <v>448.19600000000003</v>
      </c>
      <c r="X38" s="4" t="s">
        <v>20</v>
      </c>
      <c r="Y38" s="11">
        <v>451.09399999999999</v>
      </c>
      <c r="Z38" s="11">
        <v>449.625</v>
      </c>
      <c r="AA38" s="11">
        <v>450.24200000000002</v>
      </c>
      <c r="AB38" s="11">
        <v>454.68900000000002</v>
      </c>
      <c r="AC38" s="11">
        <v>460.846</v>
      </c>
      <c r="AD38" s="10">
        <v>6.5</v>
      </c>
      <c r="AE38" s="10">
        <v>0.1</v>
      </c>
      <c r="AF38" s="10">
        <v>1</v>
      </c>
      <c r="AG38" s="10">
        <v>1.4</v>
      </c>
      <c r="AH38" s="10">
        <v>0.1</v>
      </c>
      <c r="AI38" s="10">
        <v>1</v>
      </c>
      <c r="AJ38" s="10">
        <v>1.4</v>
      </c>
    </row>
    <row r="39" spans="1:36" ht="16" x14ac:dyDescent="0.2">
      <c r="A39" s="2">
        <v>4</v>
      </c>
      <c r="B39" s="9" t="s">
        <v>55</v>
      </c>
      <c r="C39" s="11">
        <v>3.5219999999999998</v>
      </c>
      <c r="D39" s="11">
        <v>901.93499999999995</v>
      </c>
      <c r="E39" s="11">
        <v>904.54899999999998</v>
      </c>
      <c r="F39" s="11">
        <v>907.26499999999999</v>
      </c>
      <c r="G39" s="11">
        <v>906.39400000000001</v>
      </c>
      <c r="H39" s="11">
        <v>906.72900000000004</v>
      </c>
      <c r="I39" s="11">
        <v>904.87099999999998</v>
      </c>
      <c r="J39" s="11">
        <v>900.33799999999997</v>
      </c>
      <c r="K39" s="4" t="s">
        <v>20</v>
      </c>
      <c r="L39" s="11">
        <v>907.83500000000004</v>
      </c>
      <c r="M39" s="11">
        <v>903.84199999999998</v>
      </c>
      <c r="N39" s="11">
        <v>903.14</v>
      </c>
      <c r="O39" s="11">
        <v>906.01499999999999</v>
      </c>
      <c r="P39" s="11">
        <v>908.596</v>
      </c>
      <c r="Q39" s="11">
        <v>893.72199999999998</v>
      </c>
      <c r="R39" s="11">
        <v>902.11900000000003</v>
      </c>
      <c r="S39" s="11">
        <v>906.99900000000002</v>
      </c>
      <c r="T39" s="11">
        <v>907.95500000000004</v>
      </c>
      <c r="U39" s="11">
        <v>908.27300000000002</v>
      </c>
      <c r="V39" s="11">
        <v>907.41600000000005</v>
      </c>
      <c r="W39" s="11">
        <v>905.01300000000003</v>
      </c>
      <c r="X39" s="4" t="s">
        <v>20</v>
      </c>
      <c r="Y39" s="11">
        <v>910.59299999999996</v>
      </c>
      <c r="Z39" s="11">
        <v>908.56299999999999</v>
      </c>
      <c r="AA39" s="11">
        <v>903.14</v>
      </c>
      <c r="AB39" s="11">
        <v>898.35199999999998</v>
      </c>
      <c r="AC39" s="11">
        <v>900.322</v>
      </c>
      <c r="AD39" s="10">
        <v>0.7</v>
      </c>
      <c r="AE39" s="10">
        <v>-0.1</v>
      </c>
      <c r="AF39" s="10">
        <v>0.3</v>
      </c>
      <c r="AG39" s="10">
        <v>0.3</v>
      </c>
      <c r="AH39" s="10">
        <v>-0.6</v>
      </c>
      <c r="AI39" s="10">
        <v>-0.5</v>
      </c>
      <c r="AJ39" s="10">
        <v>0.2</v>
      </c>
    </row>
    <row r="40" spans="1:36" ht="16" x14ac:dyDescent="0.2">
      <c r="A40" s="2">
        <v>4</v>
      </c>
      <c r="B40" s="9" t="s">
        <v>56</v>
      </c>
      <c r="C40" s="11">
        <v>0.59699999999999998</v>
      </c>
      <c r="D40" s="11">
        <v>252.91900000000001</v>
      </c>
      <c r="E40" s="11">
        <v>256.94400000000002</v>
      </c>
      <c r="F40" s="11">
        <v>261.89</v>
      </c>
      <c r="G40" s="11">
        <v>256.483</v>
      </c>
      <c r="H40" s="11">
        <v>247.03700000000001</v>
      </c>
      <c r="I40" s="11">
        <v>250.88800000000001</v>
      </c>
      <c r="J40" s="11">
        <v>257.68200000000002</v>
      </c>
      <c r="K40" s="4" t="s">
        <v>20</v>
      </c>
      <c r="L40" s="11">
        <v>255.27099999999999</v>
      </c>
      <c r="M40" s="11">
        <v>252</v>
      </c>
      <c r="N40" s="11">
        <v>273.90800000000002</v>
      </c>
      <c r="O40" s="11">
        <v>279.92500000000001</v>
      </c>
      <c r="P40" s="11">
        <v>290.30700000000002</v>
      </c>
      <c r="Q40" s="11">
        <v>253.77199999999999</v>
      </c>
      <c r="R40" s="11">
        <v>248.91200000000001</v>
      </c>
      <c r="S40" s="11">
        <v>243.89400000000001</v>
      </c>
      <c r="T40" s="11">
        <v>243.88900000000001</v>
      </c>
      <c r="U40" s="11">
        <v>250.423</v>
      </c>
      <c r="V40" s="11">
        <v>261.916</v>
      </c>
      <c r="W40" s="11">
        <v>266.065</v>
      </c>
      <c r="X40" s="4" t="s">
        <v>20</v>
      </c>
      <c r="Y40" s="11">
        <v>253.18700000000001</v>
      </c>
      <c r="Z40" s="11">
        <v>261.26499999999999</v>
      </c>
      <c r="AA40" s="11">
        <v>282.41399999999999</v>
      </c>
      <c r="AB40" s="11">
        <v>283.36799999999999</v>
      </c>
      <c r="AC40" s="11">
        <v>291.286</v>
      </c>
      <c r="AD40" s="10">
        <v>14.8</v>
      </c>
      <c r="AE40" s="10">
        <v>8.6999999999999993</v>
      </c>
      <c r="AF40" s="10">
        <v>2.2000000000000002</v>
      </c>
      <c r="AG40" s="10">
        <v>3.7</v>
      </c>
      <c r="AH40" s="10">
        <v>8.1</v>
      </c>
      <c r="AI40" s="10">
        <v>0.3</v>
      </c>
      <c r="AJ40" s="10">
        <v>2.8</v>
      </c>
    </row>
    <row r="41" spans="1:36" ht="16" x14ac:dyDescent="0.2">
      <c r="A41" s="1" t="s">
        <v>0</v>
      </c>
      <c r="B41" s="12" t="s">
        <v>0</v>
      </c>
    </row>
    <row r="42" spans="1:36" ht="16" x14ac:dyDescent="0.2">
      <c r="A42" s="1" t="s">
        <v>0</v>
      </c>
      <c r="B42" s="12" t="s">
        <v>57</v>
      </c>
    </row>
    <row r="43" spans="1:36" ht="16" x14ac:dyDescent="0.2">
      <c r="A43" s="1" t="s">
        <v>0</v>
      </c>
      <c r="B43" s="12" t="s">
        <v>58</v>
      </c>
    </row>
    <row r="44" spans="1:36" ht="16" x14ac:dyDescent="0.2">
      <c r="A44" s="1" t="s">
        <v>0</v>
      </c>
      <c r="B44" s="12" t="s">
        <v>59</v>
      </c>
    </row>
    <row r="45" spans="1:36" ht="16" x14ac:dyDescent="0.2">
      <c r="A45" s="1" t="s">
        <v>0</v>
      </c>
      <c r="B45" s="1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CPI-W supplemental table, March 2026</dc:title>
  <dc:creator>U.S. Bureau of Labor Statistics</dc:creator>
  <cp:lastModifiedBy>Nason Tran</cp:lastModifiedBy>
  <dcterms:created xsi:type="dcterms:W3CDTF">2026-04-06T19:08:12Z</dcterms:created>
  <dcterms:modified xsi:type="dcterms:W3CDTF">2026-05-26T08:14:28Z</dcterms:modified>
</cp:coreProperties>
</file>